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Área de Trabalho\sql\SQL para análise de dados - Material de apoio\Exercícios\09-Projeto1-Dashboard de vendas\"/>
    </mc:Choice>
  </mc:AlternateContent>
  <xr:revisionPtr revIDLastSave="0" documentId="13_ncr:1_{1F0670B2-D012-4F35-AD44-339AF5DC04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2" r:id="rId1"/>
    <sheet name="Resultados" sheetId="3" r:id="rId2"/>
    <sheet name="Queries" sheetId="4" r:id="rId3"/>
  </sheets>
  <externalReferences>
    <externalReference r:id="rId4"/>
  </externalReferences>
  <definedNames>
    <definedName name="_xlnm._FilterDatabase" localSheetId="0" hidden="1">Resultados!$M$3:$N$3</definedName>
    <definedName name="_xlnm._FilterDatabase" localSheetId="1" hidden="1">Resultados!$S$3:$U$10</definedName>
    <definedName name="_xlchart.v5.0" hidden="1">Resultados!$I$3:$J$3</definedName>
    <definedName name="_xlchart.v5.1" hidden="1">Resultados!$I$3:$K$3</definedName>
    <definedName name="_xlchart.v5.10" hidden="1">Resultados!$I$4:$J$8</definedName>
    <definedName name="_xlchart.v5.11" hidden="1">Resultados!$J$3</definedName>
    <definedName name="_xlchart.v5.12" hidden="1">Resultados!$J$4:$J$8</definedName>
    <definedName name="_xlchart.v5.13" hidden="1">Resultados!$K$2</definedName>
    <definedName name="_xlchart.v5.14" hidden="1">Resultados!$K$3</definedName>
    <definedName name="_xlchart.v5.15" hidden="1">Resultados!$K$4:$K$8</definedName>
    <definedName name="_xlchart.v5.16" hidden="1">[1]Resultados!$I$3:$J$3</definedName>
    <definedName name="_xlchart.v5.17" hidden="1">[1]Resultados!$I$4:$J$8</definedName>
    <definedName name="_xlchart.v5.18" hidden="1">[1]Resultados!$K$3</definedName>
    <definedName name="_xlchart.v5.19" hidden="1">[1]Resultados!$K$4:$K$8</definedName>
    <definedName name="_xlchart.v5.2" hidden="1">Resultados!$I$4:$J$8</definedName>
    <definedName name="_xlchart.v5.20" hidden="1">Resultados!$I$3:$J$3</definedName>
    <definedName name="_xlchart.v5.21" hidden="1">Resultados!$I$4:$J$8</definedName>
    <definedName name="_xlchart.v5.22" hidden="1">Resultados!$K$2</definedName>
    <definedName name="_xlchart.v5.23" hidden="1">Resultados!$K$3</definedName>
    <definedName name="_xlchart.v5.24" hidden="1">Resultados!$K$4:$K$8</definedName>
    <definedName name="_xlchart.v5.25" hidden="1">Resultados!$I$3:$J$3</definedName>
    <definedName name="_xlchart.v5.26" hidden="1">Resultados!$I$4:$J$8</definedName>
    <definedName name="_xlchart.v5.27" hidden="1">Resultados!$K$2</definedName>
    <definedName name="_xlchart.v5.28" hidden="1">Resultados!$K$3</definedName>
    <definedName name="_xlchart.v5.29" hidden="1">Resultados!$K$4:$K$8</definedName>
    <definedName name="_xlchart.v5.3" hidden="1">Resultados!$J$3</definedName>
    <definedName name="_xlchart.v5.4" hidden="1">Resultados!$J$4:$J$8</definedName>
    <definedName name="_xlchart.v5.5" hidden="1">Resultados!$K$2</definedName>
    <definedName name="_xlchart.v5.6" hidden="1">Resultados!$K$3</definedName>
    <definedName name="_xlchart.v5.7" hidden="1">Resultados!$K$4:$K$8</definedName>
    <definedName name="_xlchart.v5.8" hidden="1">Resultados!$I$3:$J$3</definedName>
    <definedName name="_xlchart.v5.9" hidden="1">Resultados!$I$3:$K$3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3" l="1"/>
  <c r="E29" i="3" l="1"/>
  <c r="F29" i="3" l="1"/>
  <c r="G29" i="3" l="1"/>
  <c r="H29" i="3" l="1"/>
  <c r="I29" i="3" l="1"/>
  <c r="J29" i="3" l="1"/>
  <c r="K29" i="3" l="1"/>
  <c r="L29" i="3" l="1"/>
  <c r="M29" i="3" l="1"/>
  <c r="N29" i="3" l="1"/>
</calcChain>
</file>

<file path=xl/sharedStrings.xml><?xml version="1.0" encoding="utf-8"?>
<sst xmlns="http://schemas.openxmlformats.org/spreadsheetml/2006/main" count="48" uniqueCount="41">
  <si>
    <t>mês</t>
  </si>
  <si>
    <t>leads (#)</t>
  </si>
  <si>
    <t>vendas (#)</t>
  </si>
  <si>
    <t>receita (k, R$)</t>
  </si>
  <si>
    <t>conversão (%)</t>
  </si>
  <si>
    <t>ticket médio (k, R$)</t>
  </si>
  <si>
    <t>estado</t>
  </si>
  <si>
    <t>país</t>
  </si>
  <si>
    <t>marca</t>
  </si>
  <si>
    <t>loja</t>
  </si>
  <si>
    <t>dia_semana</t>
  </si>
  <si>
    <t>dia da semana</t>
  </si>
  <si>
    <t>visitas (#)</t>
  </si>
  <si>
    <t>1 - Receita, leads, conversão e ticket médio mês a mês</t>
  </si>
  <si>
    <t>2- Estados que mais venderam</t>
  </si>
  <si>
    <t>3 - Marcas que mais venderam no mês</t>
  </si>
  <si>
    <t>4 - Lojas que mais venderam</t>
  </si>
  <si>
    <t>5 - Dias da semana com maior número de visitas ao site</t>
  </si>
  <si>
    <t>Brasil</t>
  </si>
  <si>
    <t>SP</t>
  </si>
  <si>
    <t>MG</t>
  </si>
  <si>
    <t>SC</t>
  </si>
  <si>
    <t>RS</t>
  </si>
  <si>
    <t>RJ</t>
  </si>
  <si>
    <t>FIAT</t>
  </si>
  <si>
    <t>CHEVROLET</t>
  </si>
  <si>
    <t>VOLKSWAGEN</t>
  </si>
  <si>
    <t>FORD</t>
  </si>
  <si>
    <t>RENAULT</t>
  </si>
  <si>
    <t>KIYOKO CILEIDI JERY LTDA</t>
  </si>
  <si>
    <t>CLAUDINEO JOZENAIDE LUYANE LTDA</t>
  </si>
  <si>
    <t>ADO JUBERTH VALTUIDES LTDA</t>
  </si>
  <si>
    <t>GERRIVALDO ROSIELEN VALTEIDE LTDA</t>
  </si>
  <si>
    <t>NILFA CID SILVANDRO LTDA</t>
  </si>
  <si>
    <t>Terça-Feira</t>
  </si>
  <si>
    <t>Quarta-Feira</t>
  </si>
  <si>
    <t>Quinta-Feira</t>
  </si>
  <si>
    <t>Segunda-Feira</t>
  </si>
  <si>
    <t>Sexta-Feira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</si>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</sst>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416]mmm\-yy;@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9" fontId="0" fillId="2" borderId="0" xfId="0" applyNumberFormat="1" applyFill="1"/>
    <xf numFmtId="9" fontId="0" fillId="0" borderId="0" xfId="0" applyNumberFormat="1"/>
    <xf numFmtId="164" fontId="0" fillId="2" borderId="0" xfId="0" applyNumberFormat="1" applyFill="1"/>
    <xf numFmtId="164" fontId="0" fillId="0" borderId="0" xfId="0" applyNumberFormat="1"/>
    <xf numFmtId="3" fontId="0" fillId="2" borderId="0" xfId="0" applyNumberFormat="1" applyFill="1"/>
    <xf numFmtId="3" fontId="0" fillId="0" borderId="0" xfId="0" applyNumberFormat="1"/>
    <xf numFmtId="165" fontId="0" fillId="2" borderId="0" xfId="0" applyNumberFormat="1" applyFill="1"/>
    <xf numFmtId="165" fontId="0" fillId="0" borderId="0" xfId="0" applyNumberFormat="1"/>
    <xf numFmtId="17" fontId="1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E00"/>
      <color rgb="FF404040"/>
      <color rgb="FFC89400"/>
      <color rgb="FF1C819E"/>
      <color rgb="FF176C83"/>
      <color rgb="FFBFBFBF"/>
      <color rgb="FFA6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8964838790962708E-2"/>
          <c:y val="0.19366649151933321"/>
          <c:w val="0.86520753223694313"/>
          <c:h val="0.638861410766545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Resultados!$C$3</c:f>
              <c:strCache>
                <c:ptCount val="1"/>
                <c:pt idx="0">
                  <c:v>leads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Resultados!$C$4:$C$15</c:f>
              <c:numCache>
                <c:formatCode>#,##0</c:formatCode>
                <c:ptCount val="12"/>
                <c:pt idx="0">
                  <c:v>26</c:v>
                </c:pt>
                <c:pt idx="1">
                  <c:v>931</c:v>
                </c:pt>
                <c:pt idx="2">
                  <c:v>1207</c:v>
                </c:pt>
                <c:pt idx="3">
                  <c:v>1008</c:v>
                </c:pt>
                <c:pt idx="4">
                  <c:v>1058</c:v>
                </c:pt>
                <c:pt idx="5">
                  <c:v>1300</c:v>
                </c:pt>
                <c:pt idx="6">
                  <c:v>1932</c:v>
                </c:pt>
                <c:pt idx="7">
                  <c:v>2376</c:v>
                </c:pt>
                <c:pt idx="8">
                  <c:v>3819</c:v>
                </c:pt>
                <c:pt idx="9">
                  <c:v>4440</c:v>
                </c:pt>
                <c:pt idx="10">
                  <c:v>6130</c:v>
                </c:pt>
                <c:pt idx="11">
                  <c:v>6353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305806031"/>
        <c:axId val="1305802703"/>
      </c:barChart>
      <c:lineChart>
        <c:grouping val="standard"/>
        <c:varyColors val="0"/>
        <c:ser>
          <c:idx val="1"/>
          <c:order val="1"/>
          <c:tx>
            <c:strRef>
              <c:f>Resultados!$F$3</c:f>
              <c:strCache>
                <c:ptCount val="1"/>
                <c:pt idx="0">
                  <c:v>conversão (%)</c:v>
                </c:pt>
              </c:strCache>
            </c:strRef>
          </c:tx>
          <c:spPr>
            <a:ln w="28575" cap="rnd">
              <a:solidFill>
                <a:srgbClr val="FFBE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Resultados!$F$4:$F$15</c:f>
              <c:numCache>
                <c:formatCode>0%</c:formatCode>
                <c:ptCount val="12"/>
                <c:pt idx="0">
                  <c:v>0.19</c:v>
                </c:pt>
                <c:pt idx="1">
                  <c:v>0.04</c:v>
                </c:pt>
                <c:pt idx="2">
                  <c:v>0.04</c:v>
                </c:pt>
                <c:pt idx="3">
                  <c:v>0.03</c:v>
                </c:pt>
                <c:pt idx="4">
                  <c:v>0.03</c:v>
                </c:pt>
                <c:pt idx="5">
                  <c:v>0.05</c:v>
                </c:pt>
                <c:pt idx="6">
                  <c:v>0.06</c:v>
                </c:pt>
                <c:pt idx="7">
                  <c:v>0.06</c:v>
                </c:pt>
                <c:pt idx="8">
                  <c:v>0.1</c:v>
                </c:pt>
                <c:pt idx="9">
                  <c:v>0.13</c:v>
                </c:pt>
                <c:pt idx="10">
                  <c:v>0.18</c:v>
                </c:pt>
                <c:pt idx="11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6420143"/>
        <c:axId val="1886418895"/>
      </c:lineChart>
      <c:dateAx>
        <c:axId val="1305806031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5802703"/>
        <c:crosses val="autoZero"/>
        <c:auto val="1"/>
        <c:lblOffset val="100"/>
        <c:baseTimeUnit val="months"/>
      </c:dateAx>
      <c:valAx>
        <c:axId val="130580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5806031"/>
        <c:crosses val="autoZero"/>
        <c:crossBetween val="between"/>
      </c:valAx>
      <c:valAx>
        <c:axId val="18864188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6420143"/>
        <c:crosses val="max"/>
        <c:crossBetween val="between"/>
      </c:valAx>
      <c:dateAx>
        <c:axId val="1886420143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8864188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i="0"/>
              <a:t>Receita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8964838790962708E-2"/>
          <c:y val="0.19366649151933321"/>
          <c:w val="0.86520753223694313"/>
          <c:h val="0.638861410766545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Resultados!$E$3</c:f>
              <c:strCache>
                <c:ptCount val="1"/>
                <c:pt idx="0">
                  <c:v>receita (k, R$)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Resultados!$E$4:$E$15</c:f>
              <c:numCache>
                <c:formatCode>#,##0</c:formatCode>
                <c:ptCount val="12"/>
                <c:pt idx="0">
                  <c:v>259.29000000000002</c:v>
                </c:pt>
                <c:pt idx="1">
                  <c:v>1676.46</c:v>
                </c:pt>
                <c:pt idx="2">
                  <c:v>2278.5100000000002</c:v>
                </c:pt>
                <c:pt idx="3">
                  <c:v>2602.77</c:v>
                </c:pt>
                <c:pt idx="4">
                  <c:v>2297.2199999999998</c:v>
                </c:pt>
                <c:pt idx="5">
                  <c:v>3631.1</c:v>
                </c:pt>
                <c:pt idx="6">
                  <c:v>7911.19</c:v>
                </c:pt>
                <c:pt idx="7">
                  <c:v>7477.56</c:v>
                </c:pt>
                <c:pt idx="8">
                  <c:v>21508.48</c:v>
                </c:pt>
                <c:pt idx="9">
                  <c:v>33179.25</c:v>
                </c:pt>
                <c:pt idx="10">
                  <c:v>58987.79</c:v>
                </c:pt>
                <c:pt idx="11">
                  <c:v>68274.09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305806031"/>
        <c:axId val="1305802703"/>
      </c:barChart>
      <c:lineChart>
        <c:grouping val="standard"/>
        <c:varyColors val="0"/>
        <c:ser>
          <c:idx val="1"/>
          <c:order val="1"/>
          <c:tx>
            <c:strRef>
              <c:f>Resultados!$G$3</c:f>
              <c:strCache>
                <c:ptCount val="1"/>
                <c:pt idx="0">
                  <c:v>ticket médio (k, R$)</c:v>
                </c:pt>
              </c:strCache>
            </c:strRef>
          </c:tx>
          <c:spPr>
            <a:ln w="28575" cap="rnd">
              <a:solidFill>
                <a:srgbClr val="FFBE0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Resultados!$B$4:$B$15</c:f>
              <c:numCache>
                <c:formatCode>[$-416]mmm\-yy;@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Resultados!$G$4:$G$15</c:f>
              <c:numCache>
                <c:formatCode>#,##0.0</c:formatCode>
                <c:ptCount val="12"/>
                <c:pt idx="0">
                  <c:v>518.58000000000004</c:v>
                </c:pt>
                <c:pt idx="1">
                  <c:v>478.99</c:v>
                </c:pt>
                <c:pt idx="2">
                  <c:v>517.84</c:v>
                </c:pt>
                <c:pt idx="3">
                  <c:v>788.72</c:v>
                </c:pt>
                <c:pt idx="4">
                  <c:v>717.88</c:v>
                </c:pt>
                <c:pt idx="5">
                  <c:v>533.98</c:v>
                </c:pt>
                <c:pt idx="6">
                  <c:v>664.81</c:v>
                </c:pt>
                <c:pt idx="7">
                  <c:v>526.59</c:v>
                </c:pt>
                <c:pt idx="8">
                  <c:v>545.9</c:v>
                </c:pt>
                <c:pt idx="9">
                  <c:v>563.30999999999995</c:v>
                </c:pt>
                <c:pt idx="10">
                  <c:v>549.75</c:v>
                </c:pt>
                <c:pt idx="11">
                  <c:v>544.45000000000005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7-4792-8753-862D5E3D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6420143"/>
        <c:axId val="1886418895"/>
      </c:lineChart>
      <c:dateAx>
        <c:axId val="1305806031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5802703"/>
        <c:crosses val="autoZero"/>
        <c:auto val="1"/>
        <c:lblOffset val="100"/>
        <c:baseTimeUnit val="months"/>
      </c:dateAx>
      <c:valAx>
        <c:axId val="130580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05806031"/>
        <c:crosses val="autoZero"/>
        <c:crossBetween val="between"/>
      </c:valAx>
      <c:valAx>
        <c:axId val="1886418895"/>
        <c:scaling>
          <c:orientation val="minMax"/>
        </c:scaling>
        <c:delete val="0"/>
        <c:axPos val="r"/>
        <c:numFmt formatCode="#,##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6420143"/>
        <c:crosses val="max"/>
        <c:crossBetween val="between"/>
      </c:valAx>
      <c:dateAx>
        <c:axId val="1886420143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8864188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marcas mais vendidas no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Resultados!$N$3</c:f>
              <c:strCache>
                <c:ptCount val="1"/>
                <c:pt idx="0">
                  <c:v>vendas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Resultados!$M$4:$M$8</c:f>
              <c:strCache>
                <c:ptCount val="5"/>
                <c:pt idx="0">
                  <c:v>RENAULT</c:v>
                </c:pt>
                <c:pt idx="1">
                  <c:v>FORD</c:v>
                </c:pt>
                <c:pt idx="2">
                  <c:v>VOLKSWAGEN</c:v>
                </c:pt>
                <c:pt idx="3">
                  <c:v>CHEVROLET</c:v>
                </c:pt>
                <c:pt idx="4">
                  <c:v>FIAT</c:v>
                </c:pt>
              </c:strCache>
            </c:strRef>
          </c:cat>
          <c:val>
            <c:numRef>
              <c:f>Resultados!$N$4:$N$8</c:f>
              <c:numCache>
                <c:formatCode>General</c:formatCode>
                <c:ptCount val="5"/>
                <c:pt idx="0">
                  <c:v>108</c:v>
                </c:pt>
                <c:pt idx="1">
                  <c:v>136</c:v>
                </c:pt>
                <c:pt idx="2">
                  <c:v>193</c:v>
                </c:pt>
                <c:pt idx="3">
                  <c:v>237</c:v>
                </c:pt>
                <c:pt idx="4">
                  <c:v>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6-4CC5-98DF-5CAE1CA2C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928149903"/>
        <c:axId val="1928139087"/>
      </c:barChart>
      <c:catAx>
        <c:axId val="19281499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8139087"/>
        <c:crosses val="autoZero"/>
        <c:auto val="1"/>
        <c:lblAlgn val="ctr"/>
        <c:lblOffset val="100"/>
        <c:noMultiLvlLbl val="0"/>
      </c:catAx>
      <c:valAx>
        <c:axId val="192813908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2814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lojas que mais venderam no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Resultados!$Q$3</c:f>
              <c:strCache>
                <c:ptCount val="1"/>
                <c:pt idx="0">
                  <c:v>vendas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Resultados!$P$4:$P$8</c:f>
              <c:strCache>
                <c:ptCount val="5"/>
                <c:pt idx="0">
                  <c:v>ADO JUBERTH VALTUIDES LTDA</c:v>
                </c:pt>
                <c:pt idx="1">
                  <c:v>GERRIVALDO ROSIELEN VALTEIDE LTDA</c:v>
                </c:pt>
                <c:pt idx="2">
                  <c:v>NILFA CID SILVANDRO LTDA</c:v>
                </c:pt>
                <c:pt idx="3">
                  <c:v>CLAUDINEO JOZENAIDE LUYANE LTDA</c:v>
                </c:pt>
                <c:pt idx="4">
                  <c:v>KIYOKO CILEIDI JERY LTDA</c:v>
                </c:pt>
              </c:strCache>
            </c:strRef>
          </c:cat>
          <c:val>
            <c:numRef>
              <c:f>Resultados!$Q$4:$Q$8</c:f>
              <c:numCache>
                <c:formatCode>General</c:formatCode>
                <c:ptCount val="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15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6-4CC5-98DF-5CAE1CA2C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928149903"/>
        <c:axId val="1928139087"/>
      </c:barChart>
      <c:catAx>
        <c:axId val="19281499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8139087"/>
        <c:crosses val="autoZero"/>
        <c:auto val="1"/>
        <c:lblAlgn val="ctr"/>
        <c:lblOffset val="100"/>
        <c:noMultiLvlLbl val="0"/>
      </c:catAx>
      <c:valAx>
        <c:axId val="192813908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2814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Visitas</a:t>
            </a:r>
            <a:r>
              <a:rPr lang="en-US" baseline="0"/>
              <a:t> ao site por dia da semana no mês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237052822815004E-2"/>
          <c:y val="0.25577018621736308"/>
          <c:w val="0.90291564079305431"/>
          <c:h val="0.386216277118802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Resultados!$U$3</c:f>
              <c:strCache>
                <c:ptCount val="1"/>
                <c:pt idx="0">
                  <c:v>visitas (#)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Resultados!$T$4:$T$10</c:f>
              <c:strCache>
                <c:ptCount val="7"/>
                <c:pt idx="0">
                  <c:v>Domingo</c:v>
                </c:pt>
                <c:pt idx="1">
                  <c:v>Sábado</c:v>
                </c:pt>
                <c:pt idx="2">
                  <c:v>Sexta-Feira</c:v>
                </c:pt>
                <c:pt idx="3">
                  <c:v>Quinta-Feira</c:v>
                </c:pt>
                <c:pt idx="4">
                  <c:v>Terça-Feira</c:v>
                </c:pt>
                <c:pt idx="5">
                  <c:v>Quarta-Feira</c:v>
                </c:pt>
                <c:pt idx="6">
                  <c:v>Segunda-Feira</c:v>
                </c:pt>
              </c:strCache>
            </c:strRef>
          </c:cat>
          <c:val>
            <c:numRef>
              <c:f>Resultados!$U$4:$U$10</c:f>
              <c:numCache>
                <c:formatCode>General</c:formatCode>
                <c:ptCount val="7"/>
                <c:pt idx="0">
                  <c:v>17</c:v>
                </c:pt>
                <c:pt idx="1">
                  <c:v>185</c:v>
                </c:pt>
                <c:pt idx="2">
                  <c:v>188</c:v>
                </c:pt>
                <c:pt idx="3">
                  <c:v>202</c:v>
                </c:pt>
                <c:pt idx="4">
                  <c:v>205</c:v>
                </c:pt>
                <c:pt idx="5">
                  <c:v>223</c:v>
                </c:pt>
                <c:pt idx="6">
                  <c:v>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6-4CC5-98DF-5CAE1CA2C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928149903"/>
        <c:axId val="1928139087"/>
      </c:barChart>
      <c:catAx>
        <c:axId val="192814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8139087"/>
        <c:crosses val="autoZero"/>
        <c:auto val="1"/>
        <c:lblAlgn val="ctr"/>
        <c:lblOffset val="100"/>
        <c:noMultiLvlLbl val="0"/>
      </c:catAx>
      <c:valAx>
        <c:axId val="19281390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814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  <cx:nf>_xlchart.v5.0</cx:nf>
      </cx:strDim>
      <cx:numDim type="colorVal">
        <cx:f>_xlchart.v5.7</cx:f>
      </cx:numDim>
    </cx:data>
  </cx:chartData>
  <cx:chart>
    <cx:title pos="t" align="ctr" overlay="0">
      <cx:tx>
        <cx:txData>
          <cx:v>Estados que mais venderam no mês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Estados que mais venderam no mês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regionMap" uniqueId="{00000001-8848-41A7-9E79-20C89709F016}" formatIdx="1">
          <cx:tx>
            <cx:txData>
              <cx:f>_xlchart.v5.6</cx:f>
              <cx:v>vendas (#)</cx:v>
            </cx:txData>
          </cx:tx>
          <cx:dataLabels>
            <cx:visibility seriesName="0" categoryName="0" value="1"/>
          </cx:dataLabels>
          <cx:dataId val="0"/>
          <cx:layoutPr>
            <cx:geography cultureLanguage="pt-BR" cultureRegion="BR" attribution="Da plataforma Bing">
              <cx:geoCache provider="{E9337A44-BEBE-4D9F-B70C-5C5E7DAFC167}">
                <cx:binary>3HxZc9zGsuZfUfh5INe+3LjnRkwB3c3mJoraLL8gaIlGFdYq7MCvn2x5OWSrzR7dh4m4owhbJtHo
rNwzv8zyf36Z/+NL+fjQvpqrsu7+48v8r59s3/v/+Pnn7ot9rB6615X70jZd83v/+ktT/dz8/rv7
8vjz1/ZhcnX2M0GY/fzFPrT94/zTf/0nfFv22Fw3Xx5619Rvh8d2uX/shrLvXnh28tGrL81Q94fX
M/imf/1k2ofOlT+9evhauTpxXd+6Lz3+10/373569Vj3rl/eL/7xXz89e/7Tq5+Pv/y7g7wq4az9
8BXejSh6jajmRKufXpVNnf31e45fEyw0hYfo2x/yF9HbhwpevHfNq137UH99fPW1efVugHP+85m+
nejh69f2seuAnW9/n/yKZ6z8wek/CMV1TfyHuOLmwIi5/8b5z8/V8V//efQLkMXRb55o7Fhw5x79
Xyvs8iXh/KDCCHmtkVIIYaL/+PNccYy+xlpIqskfekP0L+L/Vhwo7fKhfnRt89ezU5b0z1p7+v6x
yoDX/4Eqe2q7z47/o/6E0Wv67Q8Ch3nmUPT1HxqR4qRD/eXt/3yS0/r4671np/538Pif5Cfv4pfM
8eAn/+9992Z37kzPI86LwRbr1xorwSCD/GED+LmNgO9qygV8hv7x/Mh3b1z90L3aPbYPrnvpWKct
5fnbR3574PP/BxO6e0ku50zon83rb7UmD/3D5lvyfZIdXn76V1o5evWFfPnno/3Xf/0kmH4Sgg5f
8efDP6L5//7SPv7F8d8ff3zoekjtQrwWWGuGJcaMcKnA2qbHb48kGBrYGGFcSyykFkCkbtrewmvy
NcYUccgtknPFNYXKoGuGb88wfo2ZpFAXKCYFF4T/XQHdNeWSNfXfovjz51f1UN01ru67f/0kJZzA
//G5b4elXBEsuVYSDsg0UUDKf3m4hzILPo7/VzbLvtBThpIuH0P5gBZcJlMbap54QsfGFHxYRlMM
Mk+8Zz5Oc+dudGeLy2bU/V2hi/BLGir5xq9qNr6i0TumS2eGppxKM+ssd8k6Dx2K12Kat5kv04vQ
+tHUNOrfcj2LjWe6YDssxyR1476zfVubJorCJ78u/hfdyKxOShqQiHFZKSNLVn5Vi+CPs2X9bT9F
WWumGdtLGfpit7I0vSvlsubx5Dtxw3AhjbdIyrjh62SEYMW2nFYVt6vON6Qclp3vV2+iRVSXDRvG
/hoVI7me8qF9O7nFxnWZF5c9puJ3PtajiwNL9Zu84MWuK3FrDQmkvM6XiO3LKGR7jqcPhErUGUar
9BPxKr1uB5Fdylzq6zpr37s+dxs0BnpZNIXBrOovonV1d+u8FJd+wfY+FOVdZrti42mb3frRkRvm
xu5TGtb6YlZO7peooZmZEc0+drxOXbwoThMp+mjXzwV67/uCp6bQ6uOUjz5Zp8VvGGuKC0LKsJmb
KKOmG3i6kfWYKcPnajH10GSdieaexG6wy40X9bqRqsnjsIzrfqgzval4ke+DxffjUl7yvP7Ua2wU
ze9yNTiTySmNSeEHg+sexysTfeIWrmJGcL5bHEpjl0HSNtns5y2okpgV0fIy62t7tVYoxKp1tdHE
hS0JK0pYIUKyBNFt+z5qE656uhVzNMetbMjeFq7+bVVk2Kxl4CimNl+NWOZ6NGymZSwCTd/Unt3j
2lGjWGPmisdt1rF4zXy4X1qUbdcCzffRmsqLSfZLTGfgtxBlfiudGjeDpuItUGjuo4HMSdHhbEu1
HTdV76uLfCyYCWpskhGMq39bzXxSW6J4MNx1hTC5tOXItxGtiuUyHXCf/1rxXndsM06Tdvw260gq
VpO1Na8uqiBtt8TM6oKybREypyaTE2zHKGFrsA2+8TiKytnMpKat6I2ty2Lq7xc3Lqu7EsUwF/gu
F67eTyJkCe2KJvFtaIz3y/ioOg1flBVs21adu8qWsfkq7Bo+pJWYE1Qsy77Vi/ulyrO8MhNH+m7k
aRV3LQjLhjGrTLC22wxKNfdll/vtzApqzbCk9AK3k7geyrLIDcUh+rwqP1xlJeljMdPqrpxJeYs4
Lj6XqdS7Ok39bzXxetf6VN6soVtRzEla7GxD7f06Z2E03BfWmRC67P04sepKrK0m29EqCFLTPAaj
+kGQGKg3m4IN4lb51L6bpyFcdKLVwL5ftzYrcSJLXUdJWat6s+aMX+bjIi5IlPZ3UyppZTL9nqo2
XBPry8rkVuncpO0QPnNUFvdK4z6WgRdmVj35yqVbPi5FqbCJbBeuGcVv15raTTWAwwiZk3cLH6p7
2a3yWg6o2TiX0ztEB/pJNmvNTYkqejGRmk+XeG6HzBTUgxzrzrLfLcHkfetl9mYi5UrjLq/dpzmK
ujs76WE2rMfyHWLOJmPlWghcmecfa9vsmjb4OZHEVjuSz3mCIzrVxka53nmpVrOsFW0M43wcTEZy
EW0aFHW3VloLEbMs3s59NRq0NlabJltQZpYocnFWM1skaZGub8I4kCZhQS+xgy49M1ZO7tcsTcPl
3NezMFnj0IXN5jXu6lLAz3nP3pO00w9V7cZ0Szjtb1C68Hf5MrsLvCJ0p8tQvlutppdudOxhajV+
W0nFb+auJDG2i1zN3PU0mWUtfw8IjmOixo93y8DJRuSuuClwF/3iIsLDzs2RvJ0oX7aMzuMeYhEt
IdAtw1Yuons74zAbpGZ+5cBWvjRBtLt50SgkcFRhaju4Kk9Y5+kejX5IWNl7IygdTUfkb0j0ahcy
NHdmdraHj4xuSAZIlUmEvTZENDZhkvmLPOJT0o2i/yKmIbvGkC3NHKi6rdM6nwzONbrFlVovx5JP
b6Uuyt7MUdptbZr3cZNSbFjWV/eRxt1mdigbTOvcsO9JEd31WOVj3BLqH5FGzcXc2eVzitrqJlDI
0rGfMnVT1Ly+6Zd62vaFd3msKyVmU6Z9/2EsV2cNV0ztJ9uVn9IBsiPvceHNEEm+W1Tt7pe1QXej
kH43YFtsVCTaWwg9/gr5ck6ioisN0nXeRUkr8lV+0UuPxb61Qj1YOUCCtym6nYQEqVZFiZZEa1Qn
fdSxh6Ghw64qc5/oVGa3c26jG77oNkbe9zYJuq6/VkM5f2Tg1DtrIanFeSbTz1PRpbuqWm8GL6qL
uapjOuG4SoMzDam6KlYjuwyIvNEF14mf5s+dTbvLAjP6UeqxaMzQKfwJI2zjCbLwL2j26Ld6ZmSz
4mL4AFEv3BYuVXuvsvWOBOmNtYuPsaw+YJHfBuyzpJs1v/IcFTdV6/tt5+hFWUfvnIrmpBezG7al
rS+rcjKpE/hmWEifzGTotyxjFo4A8kxykXZXyIpql8kQdpLXZVIVM7rpJu5MF6omCU6JPfgwMikl
9iJHrbh0jJVxgV34pDjGcYs429QCL9dtMTWXI1JdTHGf7uYuyi8citJtihF/53KhN5CmdLwIut5N
BV7e+FzbT9Xk/a0ep/odztd6x3XZ7XBh821V4yWZRFpshzwVl0vejG+Elu6Wq9FgLIYt+Fk7xLnN
TY7pe0fxJkB5sKjCmra2N01fX6rKblyxbnkaknFSF3WvjUWjGdtfPX3ERS/e+FHp1Qykngczlc20
W6UYvHEVTd9iVGSfuhrtFrl0yYTJ46A4+dywerpNxQzlDl5H2wxGNhGaomuWsgLfVGB4c9IG4ta4
Kh+1DPqRpkOIMevDmtSohxeyFt32unFxVBBuTSH7a+I78MshtO/LzrNkUpktTLNaMZopTe3DOPp1
X/GGmyyAJybD4iuDU/Spado0YY1bTSDDtM1QPpg1n20EpSqZjF8x3pBijn5DTdHFgc5hk3bltMGV
Q1sIAaUZu5ncZdJtG5I6k86Qe6N8KX7pUNVvoqxwxrPUXUKBOv06DWjcts1AYo4E32RuqL/2SKYX
rurX2zobRezTJUtwUYlNNHU0sTUfkmhZPJRxrtM3bbFm2x5VzVuFFFSvY17sylS7SxZl3YW1RN/r
cVl2LZjrXswrlIVsSFwm5kvRljQWWSGSmQ5iJxYaXSJWtvCREpsxZ1MyzJgkrnKZ4U2WmzBqfBUa
/Es0ivelzD5F2bImXh/qTF+QmKTRFR0mYbBY3qZ0CnGAqGLmdq1Mats1CRFe7ruQZUb3uU2cq6PN
NDbFtor8x3Wq06TMQKN1LUFneUtN6cZHSlu76UJwiWPTTZTJKz92+YYSNcVQU2UQDLs3jEJ9Jl2a
G76KW/CVWyS7PXUTN8p2WdzztTY9g6zWcvdbrgcIyVNHtrmHT/syGKw8+twX1aN31Qfh9ZsFh+Yi
ZOUS46oKJm/knHhUMpPWxQC/GxNeungVBb1MswV6lbwZPqMubR4HPMy50V2EL7qIibgs8RLLHOUb
XUNSqFr2a+91c9WVWbWlUS23VAa1y/u8vK+zbI6XDrUbnvfvB5a5W1rNYRsatpORaky1VAM8m4a4
Y/LarSk3Y49/ITSbjFYqh6Bcf1jbcd+2YPK5IMkSLZ0py7RIQh9s3KXuotFDEadYl7GSIDdM0qu+
5Oq+9HO2DbyvN1GUt/u54PXl0lu9dxq6LQ9ZZddTspjeluxytSXa5n09bqZ6buKxjzCYe7cYIov+
nRBNu49KZQabTzvfKqjD7XCnKvmxyXER82EtNplIjerKJMO/L93ew3tmluX4flh3CtU48Vk5XnmZ
9xtKo8p4cZd3ftywtZ0vsn6N+8HtBbue2mqF71LTFlW/RyozaLgt1jlcQtYdL+p2Lt/pNbd7xgTa
T3rNRlPNuIM0D4VdzFJF9k/h8Ge9+ZfGL63L7J8Dir9//K+bv6Ye32C2f//+MOL4909vxse2H9rH
VzcPvnu1Bf/+Nvg4fucApfz9EoACf0IrBwDj2Q/fYSn/gJb8MVP5h4fPoJRnKNZTbIQCIvv3cOQ7
JOUvHPUP/PUATxw+/yeUQtTrA+DBlCBIQFY74CXnoRT+mgjNJRgxwPEIOnT5bySF0tcSciRGSAqN
GNHyR5AU/gxH4QDzUAV4DWAzhGLF9AFneYKj0Circ5K1iwFXgBi5wryr3Q1DzZrLbAW/3D6RzAng
5ntyjFGFgRShDGMCfD0l5yOZDgXEJoOLbuFf57LAkEcABojYu4zpdv3yMj32HXuMIyYVcAhlIT/I
8Sk95OqiXUoonUOE6vseAKr3wYkcIM2/9X2Cq+dUBFUguAMeJQQRUiJ5eP5EiOO66gwNdWcUicZk
6f0YS8r6zctUxDNe/qRCCXw9VpoQcgR5NWnnU0WrDqJyrjfpEHEoWObyV+haQuIKHd2+TO97rjgC
K0MKQGcoqSVAyk+5KvEKANysWjO0mm2ho5+3gAlg8+NUKJcSQEbwEY6OuMKDcnmL0tbkzJJPyIVq
3/t5TV6m8r3s+GFYySVYO9iBAi98yksbSmR7qVszF8zK2OoZyq+i5XwwjV6azuAw2fcv03xu6wd9
cahROYFqBByWHMY6T2nqmgZfjUtrmlCTSxQFnoxdkd+gQYkz7J0gBSEGHEpzKok4Ng3iK9RUQwGk
ytGbUdfr1rvBQwtelTB2e8nWT0gSkGXGiAQxSghBz7nigK2pqK5aM7ou3w9QoV8IiBPXrKH6zdQ2
8uJleies8Ck9iZ7TW/pmbcQI9Noar/6iwqmPNvko3Bk6p0TICdaYA54MYfrIDlMoaBfXAP4Fbb0d
4zxf8yXp3bD+SrMxnCF2SohcCgXzWIoUV4fnTwKGDq1QXb4Eky2kSIaxJbdWiDTmTC2JmBWLXxbi
SeYUlYKAn3Ehjlx5ZEOqekeg9CsHZrjOycb1RJrMrdkZfz5FSiBGJXgz5pIcJRQccV5EMwoGMMoy
6Ukpbrt8JUZXACC/zNUheD+dAYCDiaekjhxsXKVvOwxc8bV5Y63MdqpYwkeJKdRJrAgfWzX88jLJ
U9b4lOR3gnTRDF0oCNIiKKfalG9h/SI7484nqWAmlODsMFA5ssVOe+ggItsa7/RwVzTQAUWqpm/+
G7yAsYMzCwZDniPPSnnKgoU20zRd5QzAx2LrxkacyY2nTF0oyqD6wVoCVvLc1FvovVsXRDBRC4h0
rHRZXJaiSn+vfGffa4hX/RnnOmmBSkA41PCNjB1RzCNbtk7QAD2QFLtyHD5zxn6DYYfc/LgAJWKI
HDKXIvJwkCdeLDiy2cQhZNg0kvFUdQpgN9yfcSh8POpSSkBgZ4pqIQ6J5Cji2ki5oeR1awKFNrGr
6RTz1eYb7322q6eGQrPAd2laFDvKYawEvWsNnTxi9kwU+d4sBbiOQIRw/K0cec6vdhXghiNkGZiR
lOJt3THb7S0dqu6MBvHBjZ57NlASUOsQqjjHx6XH3GXK4rlpjXUwsUMlGbchePq+GdubTETzZdv5
ZtMWDTYU6Mcwf7Ix6KDHvd4PSxTOlELfRxoYhsIsFApuwhCnR24/LVAfReMcjEdqombKdCUM6aeM
JhPKCOA+7Sjuu6Gv5jPa/17mQJnA5F8pTb8vjxZC52rAkClm2sDor8mLeKVDfUazJ/l7QuXIxJbR
Q6cYIGhPFo/JAMOPeApptKsYYOn6c5NP4YdDHPAFCgbBCYmRPordSk41hYoyGLqoNo70zOKR9fUZ
6X0ffICKgJUIJSiG9usoz9aASxWd7IMpMi3uG7WEDS26fIeGMv+td+26fTkinJIjmOxhT4eDnxxH
hLRoVldyyEgin5hPxqCiK5KiLFaq6m7IuGhAVDOoAs/weY7uEZ9iyOYAsEkwZVW3V/nUNHtvh/Um
H6L2CsBHFqMix2fC3ynhHqpNBKt+XDJ6FP5mr6pQtjUI12H+Sx8N87Ahesx3U60R4M911H96WbyH
b3weFvSh86UUWiBIi8e14ADAT827LJgx7epEhNAmtMpHE9Xzj5edUEpDBSMoR4BH8iOPKNgKc3/B
vFmmodygYgXguOc/XkxrftiygCZfkQM68Dyi1kvXNIwsMAuTftrRglWmyOVbFAoYtbXojHWeiCXP
qB2s6Em+mjIiullAtEKuTHFMHQBicUradTljGYf65EhPUnKJDtbBAL84ql/Aj11pLewmlCPqLq2K
ql1TV+iyqbjaeCnG9/MURQUAfJOdftwVYO8UYBGor6Ehp0dMymJWa9FD9l+jXr+D6Tp5gxEZYg9D
tn3TijWHrYqUn+H4hGUe1iYhQxApwG6OEgT0JKKneIJSFKeD8VSXxuPcGofG6Mdjtf7WK2OofjWk
x+daVL5bOgZLADDCbcYrMYRhX9Gew4hFk4s+lb01ZeiGM2I9oVKAOAB3gEIEhhXkYFtPbKe1gayw
Cg3xGgbXGYDVTiWTa7pLDjOx25k1uamVhjEBzELPkP7ObA9JVzBKYNUHUgY/0ihPp9qHABEly5U3
BNV0C1jMePODsQWoAPqgDz0ZlFvHsaVNZ9pOK9js6nrcwOQ1XxNoccsL6mV9/TKtUxxBdIHyE/aX
YAZ/VKEWzDHHPQxoC13P3oQhWn8dI1LKM6bynVUeeGKUgsoAGRDHQcytuVcTgrEUbC8sSecXdoXK
odoHWGw6E1tOkZKH7UQqDolWHsXLfkrrpqkqIBVgRAKwR5TAGtRn26DlTHF4SnhQC4ELYNjjwPIo
uIRKWTcT703LkNu0EdS6drJh88MqOqQZSI0gPFiyOmpju0xaDeMyCGF8hcG76KwJTaV+XEFQUB/w
PKChyDH6uuDMkxzmKLCyAkshHgLVpplV/jYN2fr5ZYZOKIgCSskZZBzAovlRhJKkChZGct6wMKQw
Wu+7uKBjHgMkcvUypRMKekbp8PxJqKibJaTrknujxfhRyZpuapL6M/Z2yIzPUoyGogM6Soh/EHcB
S35OBPczjJpx1MD8rUHXIZ/Du4pOzV5nnK2mmeZ59zJXmJyiiAnRlDEMVI8sfA1lXk4BKLJMgwAD
DMPnuobZkh5JaSxP7UU9j9lmcRy2hFAgv0dLdAk7bn5r6VTcv3ycU0IGRQoOUDrCgN0/5z+ry2pQ
KVgOrAesSeSjfAMQweOPE5Gwq8kkh+4TIslzIiJMq+s8h+0z1xLY1JtyWIvrkPbijB+c0qbUDGAj
oiF+6IPxPjEZmH/XiC5gnHVezzCbp8LAYHyLOYy0+mg5Q+2U7JSA0YeSDO47HJcIw9yJuRobb2TP
06tiXMLeQxRNflx4CgAPBjUQ1JHHwLYsZUuXDCJi3lXtdTPYagOjf3cGjj3BC4gNmiiIiKCoY8kV
dRMV2tlDnSrtbTlpFmPH7Y9CRTBoQoBAQNiA3kbRg/6e6EetY9RHB9svHK1uqmUmiU9rdSbmfo90
HMjAIIpLmKVA53Zg9gmZSqwNR5VsTD6k7jpaFN3iUF42E9dGoPFWTfzeRyjdBCvTK8C7L4X2/kx+
OZQTR5EF/BvDnjIHtEUdFwJrQIPusxIKATESvOln29V3bOZovObDNNF4nmBReN+OmpyDaU+4AXQD
MPQjVHAos47cIGosR0OlG7NUOS1iiwTssnh3TWGjIR66FP79wzYKyYcABk0pjMiOs/ZA5FytCKII
s7CvCEsX7VZW6zlPOBz7uUQxqBQQMrCgb3cUnqsVMOdsbiWoVViXxaWSzX6pV7mHdWR7xoS+lyCQ
UhTKROg/CDpuqCBWCtRykGBTcBclS1MGBZuBFn/QHeVf7VRN6Rk/P8T9Y+7A8w5II4QvBuPYZ0Zr
i8Bh5xMWFH1dwZKqDvxjGKb1tzDIMsG4Jr8BDDJfeUubi6ol3a8vq/B7c8UUABQCnQ5UkhDVnpOv
6oCycRoag8o2S0ohv5at/JXXAFDBPlplBnauqvw+5BwoQtMK0zRAWemRl3aTyx2BjRFTRwSa1jAM
F+Aq9RlNftdwaMwY4LfgCOSQe47KPJL3lLOmb0ybR+0aw2af+yWsS8US2Ltld6EYV2cKZQEzkmUJ
y8cvi/WEzcIeEpSzUAMCenQ8qG5X2NCoJVwkiMo0bHlWLH2sU2zfN11L8zPETgQ+GJVAqywFbPRB
9DtilpKoYFOPwPFFdwdxsXiPU10kI2thBZh1lr8raAWt8pxOXb8laZpKE3Vd+GBbVvsz/dYJycM8
FpYBFJTXh4sezy2KlHCfdA0TBPtgwV3Hof9tElDP12jWplzS4qZTH3HI7A+nMhACjNEBOYPFAC6O
7ApVuuTBgyXzhZVN3GcpXXd6xK47I+5Tuj1cHNGAJAGUzQ7Pn6aZus5TWHFoTNYN6YdxyancLFjD
YpBjgzxTN54ipgG2AgRSI/jnSJo9I8RGPWxwwp0CdOlxM9xOtYySUTTT+5dt9kTwEwcSCAaKEoZ9
9DlfOGV8kTXwBRc20q95j5cPqpfjrqjL8gIGmvbTy/ROsAYYPay3wGUfomBV4Dm9kkWuGpYG4noj
VRJZGGC2LSz8NvDOj6tMwcgZUiKwBmjxkW04Ufms6/PG6IW1GVySGIYUxn413WNSAxb4MmMnYqqC
moodohw6AI7PGcvnWpTZENUG1uHyOG1sl5sowOAvTlVHvvZLO6JdgFxzpnM6RRfgRiBJvy2THNnK
0E+4hBs4QHeqAcGZB8duyQKDxrZ29sPUsOZajTY6U9ydUCMsKEAJIKH4gv84codRjnCRJ8og1PWA
EqQ1eLkvQhNL2YkzoeWEhSqIcxw2gAA1hotkzwW70mmQ41Q1Ju3WNS6HlewWMaqLoU3zZKqz6AzQ
coo1aKsP45PDvTR1xFqYZBZmBXuZTcfEnkQrSaqMN/ercuUZCz1Y4FEZoKCKglmDhL0tSJDPWWMi
kD5b0tqgzJW3rAX4CO5r2O3LlnmSCuRdTjhMA/W3RPIkdKHKw3osh2gScrgNFVKkrmxkpx/GwjAM
HQGRUADiciIPrfATKp2F0ZtYPFAp+Sxj2GwrlwsGN8XgShNXKJwJkaesAhCqQx8DRQU73DZ8Sg6h
VbSDg7gV9f27sV/fVk2AC29QTxkZ8nBGUaeoHe7BwwoVwMTQ1z2n5usuF9SDc7dLyC5r19JtV2Ry
j+bZX63TOpzh7oTKICIDEq2RBJr8KEoWksA+P2yfmWn0cL9stYiMSdbg9FwVccLYgcQBGAOMliF9
OMgTrc2eYds78ON5HGWVVLA7kMiiUc44l7bvXjbEE1IEIcJoEpYUtIbx9HNi6Yznus9UbYS2vE7g
OOFL3TK4updGAOQC8s/sj0dHyNiAlkJNAtPh47S9NqqaLdwfM/no0riIsoQd1s7hMmC0YWkLd8tm
PCUvs3lKplBU8wMEfcCZDmJ4IlPb55GvIgY1ZldeEpgmbsoKri8WjJwD2M9ROuSGJ5SEh7Uw2Aqq
jR96uE4KobovN/VSjD52hQdVvszYiVSj5WEweqhNIKccMVb1rSpth2FRfF773brw6G4VqU4C78Im
mvUCt1Jd+um/QVQcwgq4A3RLR0TbSk/YKVqbbgIhOlgF+VAt4oMVdbtFItDtBPfIztA80Z5B4Ieq
Gu51wdoCO5Jrp9amyylczYVOCZsMLrhoP5efltTm8L9wodWvvEJwPzNC7Z5Mc3Um2HxfSx+mQhBC
oaKGu9LHzo8YrNLTEm6GDnLGb+G6yGJK22YPURqGm1VF6aZLQ3cT+e5M5jv43/N0dDBX8BSoowFQ
+D+cfdlu3TjT7RMR0EANvJW0B0/xEMexc0M4kyRKpCaKIvn0/9p9zkV7O4jR30UDDXTS3JLIYlWt
oc6vI6UpazX6kwWH4PIWkEa9E7GI7v/+Qd9HAVSdGfqQoJWhj3Z+v5pMrW0bQRuEhLr5VvvGNJWG
P47aU26Hb3pN6te/r/j+hZ7qXLTUICKPAMuexZ1GS9JAMAZxgG7lVkytSu4Y+PV1MQNW2ScxRIqZ
qiHW4SMXH7EW/rT6P1l8mNDslGe/PaSGDEEbUqShwTg2fZURHEz07odmK9nWt2HRKu63arTB2B3R
LA5//f3p3weJGHcICOGAJeIIndK366dAJJAmI0hEtouhWYhfu5Fuh6jJ8/1/XgktUnSGAOX802B/
uxJqh4j5Hrek4ixTlfL55grWAdPfpyZxzQfh6P0pjbGPQJg90d0QGM5e7CJIJ6xecJ1A5f0TF0jV
baKDGIijA6fVcKilm17GDao+4WL69PeHfX9YsDpa6TmS7yxEQ+zsYdcUAuQFq4M5Jq7CMQ0KKMSj
/3wkT6vkAPqB9oBiepYI4ITkYGlD2YrWNrsUjn4yuSUX/8Oj5NHp1IPtyc55NQu4fgSsNLzIzY93
IKVzBxA6MB9xwf5w8tHcjtCqzBiog+dwEvDTRG5qhSA+oEnFJnDqWShryLAze5nnmvznlBR86uAE
dmSQLLxjhC115Ibp9Img1ol3vcn7Twn6XjtZW3r391f4p70I5mXw/xqW/5hf/PsmlqINUG853PnZ
tlwEYqIlmgmyitzWX4zLHFxOwNvvk1mML9Agjx8chT/EGKRxeKXoOoEQf84NTvrOgPqB5JvbmkTF
hI7iHc37DH1Mm82PUUQSCMxpOz3StnbzBw//Pi9AhgWtxAk2zimMOt4ehYH4EZByD1wNMtoXfIwW
4uIIh7FcoUdfQHXsuoea2OR/CDhYGPwCfGSEnfPev25biOUMigCI0ZaS4BdemNw3z2G2dh/krmfH
HSePgdETZigAEMOR2b19Rm4aJRl1bRVsS1KF+Uk7OhjxQQQ9b+r9/2Xgg4IuIg79ea0GKxgZtHHc
VgIYhWb9Wpnan7TrgpRTugSfgCeqyy4md9xyu5+Adt7zVf/H7fzuZ5wFNzoGm0ZyC0nhPMvCJtl8
QGK4HYZMxlXH/G5IY13gNKPxBjLj7u+H6ezG+md1EPzAWAnRSUUH5+27nod2aEW2tlVe1+tlMqVu
B0242Q+t+Qhm+NNn/fdSp3P97wzax5lLpGmrlbF2p+M+ryK7DB981rPA988DsVNjOEc2h8Ln7IAQ
03RJ00LRyds52y4DsGB5ubixmy9iB3X852zU/D9mc6dFwaTHaYSYKUA6e5bExo5OczKwutp4U98k
oDdVp87VB8nqHx4tQz8vggwCepzsPFVeIRbhBA2milmXy6s17OPuqGOZRUfowhZogLIREf/vG+Qs
4PzzaIAuT0wtrI1i5O1XG3jGm9bRtpI2EBwA8LhCAJ35ZQvnorOZZaXOG7Md6nUC2v73xd9tGeD5
2PvgRYBsj1h7diXPRmeUcEXLZNL1MZi5K1MQXz9Y5Syi0xRd9CBCGgWYNgYWfLbK2rcQsAxRCAmv
q03p4n64FZNlOwJHmN3icFtLNap9HPn6g3D+7vhh6RzgM/hwEeAUehbqmBgC3gkZl2EwNOFdlIxm
emq1jggtwHFZ9Ado1J/Ww7nAnY9cDnT1szPYeNpDGT3C2qSjpjjZFVXQF/YnCexc/f3b/WEp9O4Z
WvggOOEcnj3aCEXX3IFSU3JUHTs+KQ9xt04Q0qb5gw94lhGcPiBYEIDY8U+W4HJ6u0cFvHxCu254
qiUYrhquxgPhXpYRyeoHbYDx820VpZA2voaFx/bBR3x3Lk/LAxpBUgfmDnbq2+Ujwhhy4CYqsUnz
A/E6Kmg6ozEdkBj5wRB8UNW9PxUxMiy8Vmwe5Ivh2Ucca9txwRHWor6jx66H7HmCa8gHL/X9U71Z
JTo7FR2LGZm6mJdA9LOyztOh7C2Yd2HD7o2Jkw/izJ+WQ3f2RM6GkALP9/YlJgq9UxhT1BWCWKDE
fqSza5uySfq4X4tcURepndN9S/d/36d/epsxlICgwYJAiQbW24UbtBrB4Y9IGedD+gLnp+dpWP4j
HQgfCbJakKLR0QEChBP/dpF+cD0MTAJaOjzOC7xVVAUUY/ygA/f+USCACFJ04FDJIBc/e4fCGF5v
gokqioD6JHk77Ejbhhf/9YVhlVOPCJAoGlPnralliLdmzAmM22iEzAyS130bLB/th/fhI0VIRIkL
iSYQ1/T03/+VLaBVz108wUSAGDfALCXA9baF4mg5wPq/P9C7K+7EaEJOFaN4gVjo/Iqbh5PKtm1h
SgCp2A/frfIxSWoYHYjEVks+kMsaTdQP9vufng9MiBj4LWgBkL6+fb7Z4wXXE96iaBt4knFQ2ZdI
ZTDrCbcPTvKflsKJwv2CegV9kbNtkfSNaSH9AoLjY307NoMsB5OHL7DYMv/5MJ3Ue+AgoaN+auud
7fPAT60b17yDR44fDmzpf89x+hH14P33wn44GW2ixXTaI2fxdonh8EKhbMUGzNyXdfC+8oQ219C9
LjcBjLZulCfzR9jY+8P1dtWzOMFTN0CyxdsqDo0/mrHVh2Ex0fHve/F9LgJQEx00XJuQoAPffLst
EuvabiIoSghs7+5kt8JeK7OqlHSMrsJGcFm0G0zRaKP569+X/tMD4hJDZRshBwLR+u3S1i8jIdai
Hkph2pauUXfd6eCjTtIfV0FTG+g+ur2Qkb1dJRErGE88aeEnZsw+HuG4Ek7hR33d91seNQ0CYXyy
aAAWd1ZUDVkAoyHdiCpYPV8PAywbo70XcyePk4y0/iAknrb1v7q5eAwsB0EKnBpQRaGafPtQBlZm
0+SpqLif6KHuJn+vkravxHzqVbHVsA+2yR+OALp+oOCc+uZIj8++VaMpJSbbRJVnyDa0DoFZZWTI
jyhU9N6AV35tsmWRu79vkT+8VsRjkG6waoo78+zjaXJKviYj4JKSZ/tECX/BYRSUFAOK+Y9E8394
qUj+U0ByOHioqs5eKlOBy1g9iWrRuoapC3gOMAnKwAYq2xRWoccO5kjyP4flk/sp2li44OBHce5b
SrNtW5Z1lZUCGFqit8Qf003HRx8P5sffX+YfTgKAKxxzNIoB554zqPSaAQVojKzAo89KE5qk7D37
+b8sgk40+hyQgp2XwwF8xcDn07ICAXrbNSoIKgXbmQ9u0Hf7Au0TXGPA/dCzORFd3+5/i+IN4KIY
KmjLp/sebfcqWObt0Lgw/fr3B3oXILHfkxMghiwRcp5zdpua1XwiV0+VGJL4kYOZxS9a7yByrQY+
B6zCzb3lTUm3ceq+iQ0+mx9sEUCo7z4d6idQJZEgn5ggENO/fV6Ucx1En920c3Brgw6c+LiP+jv4
3y11V6aSLhJ+oa30PSugn1wEPO1yGaRdGQK649OOtUEow88wTnTNa9uBi0Evtj4fyVMDM8JRf+Wu
E0ocM2IW8lNJQXheEticElG0nVGd2AVw1+Vx2ThlpqDSBnCvOGgm5vjR2JGRoUybZjv9eRhxxi9w
AJX6d6iDcfvqI5/Gn2aZzfLn1FG9ltHq2nAnyNBOJ981LeTlOor2MshEKgCOwdby2TZKAyBXaz2L
bB/RVq2lCzuzsQIIWz7fBP3JLUHETZ8/ob0T0au0Nkvwky3QPn2BV18TCzjwwm1UlXgzMqtMT8QK
8z4zWH45zkJqGLquavscOpJCLjlowTn864a8K4XTbP5iaTyL23lICMzxGONoEOJZhuRl6t0a+yqe
Npslx3nytY932ghLdNkHPaPZcW4Wsh20BNWqWJDz22YXujaHmFayickCVmY8qIaGx+5hWH2ofvaj
SqP2oGFJ83VaUM6aqp+HkXwCX3bgnzS8qEB2XsOlRaFiFvzUFMyS53CtA4haY6+U/zymIzitrIZ1
xM4uwaTLNUt6cb+cfGhkRWKysq8Jd9nybVznvllhwEbV+nkZBJquhVGinxuUspyFxyaOtH1IW6s7
VBG1XyfglSIgVBR9NK/+awrPqvpLCzO9iezhILCZ/qJfzdrcZ806GlNANpPT+23L4KNc6L7enChP
qCxy7Naldvg6Z1Dso+5SI9NP3sUbt0ULE1pyny9x3f+guLGjupQE5lYL7H9nEeVA/INk/TykTZD8
iryHEyya0svUBGVTm0w0JRxv53Ap3TrBq7qq2bDBI0zjILNHwZ0EZx3Oi7k/uDpR6iVPukB0BfgS
jcPd0q/Z9g2x0kRBoVfa+btpzUGDPJCFuSUuIqHmpC67WsfrXLS5j/ivZVZRgq3M0wWyBbjUhcFz
Tp1foFmnFqZkZS3I5F7GhvnwcotG6r9QBcfUzzHjWj1C3Wr7KmGcbCVkET4r8kBzVZmhdcGNzGsO
wT+a8f6pJ2CP6GpYUyw+b1N27ZxI6ZOGcbHf53xABII18Lo0MMPmQ1iT4+R6IK+FmqhzL4pKHNS9
DBxsGoqsCzwoIkoQNQdX8RzJkZUnCJwFVaPhCmt2QZOjDVj4qAMWcLUSKDlZGRq5+p9JQ4BiVbxZ
wAIqwsEFA92DIqTg1raExLuwEIFX2wsYlkTA+s7jOa6jqCZgqcLnB7Tkwg153b0m02zHtszqwAcP
aTPCPAGqHcdhX+s1KDIrPOvGZP0hhRMNfFOjmsG18cSHWJbLLOwnWGh3Q5D088Ws+2ZcD7OFNHgp
DYqCLK3GOOXJtYpFKld4F7WNai40orUARzpkeixieNgkZUQJ7PzgGr3lY3ThY4nw9YX3iVvXB9XF
U8d2i2LZFn6Z+YDaB9kd7KrFCZMk2Y3V3tqrHKShJdqNtadbsTG3hrtlcbAFqhiBs9+dFJObjhP8
PFoBRqEeYDSMuSob+5nLCJjHXguX/tZju2VXsI5cgm9ZGy3Do8ygyAfrD2QlEA8hJB1+wvou4EVk
kC2Um22NuQrSMeOPDgXy+hToYe4PfV+n0dWSw4+qRPgKvmdawuCohe/jxcx9f9gSHsIkYpvqsEjr
rb5JedTcMigP9lHPulvgaiPwHpmxJXnM20R2O7SbZhvBi7kZmtt0NBvEu2M8UfIcxeh9/8AztfGz
TsWCtsBKCDvgZwFygAHr6krwEPr4ALp10F8tTvGkSmFSTstOsGh6jtcoJ0FB4Dw4XpOkY/1D1LX9
dB3iBuZ3E22tu0a8G589DV3zVCs28R+Zb3N5LzqSZ/d6Cjx7BhdoGvbLQNqsasLRuANyVacLYxVI
o7uJSP5rYEs434G22sq9rVvLvmPLDifL5BB0l/s5jeDgyjgVKYSFM97DbvBmjn+11KA7DffeOcKu
xh4J7H0SS8BTRDmdflbOT/4SjsUU0n5qed898TrXgTrSbUmXbB8kc23Do0WhwG3pt1zMv03utuAX
jLgntRWNDulKykUTGn2PZmvXGAp6WBP7CgoNs/QlnJBgmFgw1rRwWt0G+FmLYm7iyS5l6tSkfmWr
DIK+GPJpgVq2qSPNXicqgvEpa6mEz2c6YKM3BZhhHu7T3eDiBMyUcJVaIZDmdj7kuYGNdAfcY7pp
YQUcFyDKwDIoHyziOagHy/oiwQudC2io2hWhMezCsgMPBBzLcCAAkuzQglYUdC3Nn2wN4PSJb0T+
rNUocnQre3MyRBzDp5CgY1bG2ItxmU31LH8sq88fQPDCjc1k0Nj7VG0wP8T54tddEzeqRPSZnvMQ
wC8uWNO9LCD1PPRuED/TNtHyOA42vh+3Lb2H8LTW/1wLL3UezhY6xyW9VNvUrJ+RKeRoSTcJk4fJ
w9ziAEMTrndwI6W2jAc2J0e/BKC1gO4rn4Yww8dynsBn0gVhhd5oExTNCMeDEkQ82BEkU9+LvUgT
fo3qxsG9Ufb+tSW4vy9GHU10NzbLBgq21nI3T2G3T3MX0j0NVH1A8QHXkNF1YwBSG5+aapRqCGAy
CQv0GejFethwvb3E4GL25cRxx5RJZ/BRWtfDGciA1apLN29rd7G0JnMFNTm4Y3CLYzUchOxmYGVP
FntZw/bCFUKo7NjJWVtY1mx5WAUE11ARnpYq1yHqwPkIV07LORxSUsU2siFIdnXzgHAXfV3iAS71
kWPLFyqy+ktSWw7r75zdhzPsT/BGCAn2TTsARwqyOcB5GAQ7GXYuSFZhHDOm1yOXtrsf4Ci+HCIK
O/YLC8PacL/GOrJfOijNp4pOGWkLkSwbYKABWzNdmKQ77vJgKAX+zu3pO6AT7rrBlJrzKCqRowwZ
DOeRi4CXCPfQAj8R1uCpWqNXtiXyqo4HD6vxDC+qgCpHx4eW+Amqct+Kb/AhD9uy3Xqyj6H8TvBr
FShFSTIq0P4kXF9R7Mi9oD3+FW1Y5OB1l6umiEVYP82dEPxIa75FRYZMBRQMkbOhZGE/3nZ9mjf7
LBLwtGHLmup9PCwBIH3mO5iW+2VwZWPA7C1IEjYUR18Gyc6vcnzYskUmn2VXi7DcUiI0DD2zcSm6
ZrL2JsnqEVLrOmZ1qeotC6sB33P8hBkE0RFGtjK5GOLecvwlQpFdZmvoixjKIFPoTCOYLb6l/V5J
Q24jUKuG7+HQuYLkiJnFlNq1rpp6wv827mD2vTPMIONLszapwRRX2RXrRUYPyHFzshbwqu9+dT62
2y84MC/Psh9xn4imbeNKLYzNe+3rAM8SLqpEtkRh/biB7nHJ7Zw8RYlb8kvFoQMom9jUDx4TNIJi
BPP+yhqO5NJsG5I840cWVelAYR8L4ykG28XGtnduiqJvC2XNddsPkhYaIyY0giETbam4QWDcfEi/
zFHgvpGh46wghrbhAwyuYVmQgOIgn7t5MuiNdYte1SccS+dhtmhx86UcptTwsd+yR78SWLsEQ9Re
DTBVZeUAi0kk/BiJUVd13eTxEZ8qMXu/NtuCrarYg4HcROy4bTUvamDUzbHdyJTuO1B1usJAxpTt
ueZoB3vCZVM0gw2f6UZOhCioOcUeTchlx2IDNii3DT/4yATwIUrqWh4I8unxayNi2NbC47Ytl3pF
7AKykXUYhgCJpDzO0LveofcW9RXwIxNeTBlcz+GKiZoF5yttiTnASdOKo6L5PF4hV0HV1uGzCNj7
Mfx/4A6dLLAQp5DDQ8DSfAWsL39Foa9/NuOw/YT9S/O61V1/jYEQut3HqNLvvFi7R8Ux+KEKsKGe
11gFyyHoYvU4dyRAzJShj/eZTXskBQHHlIcECUV8SEMbdhdxL5dH4OxJ7UvU+6jevFbxwwyNndtB
gTRWcJ1PcRcQ3FolaLzwx+I9zVskgwoFqunj9A6oPMwpPMRMbA+OfjDvYQCe2S9Csby70LRDOqxN
kGEUh8E9VCytivVuhF9dW6SENC+ihnK+AGktkI9iddtSGTnx+IBQPNyARMEh8Y19CtnNytKCegGv
ABAp2O9gjuzvQBP2e6EJKlsj+OTKNVgTgJb5gvsMBDvMnKGhjHY8QXkO3svJMNKGcnrdtg1Kl7rB
BI5iYT7+AbAENRDGlnRIkcn8JefZ8F0qR+LLGOr0QxikeVuinT1P8OJAF3gP5Uo3liLh4J40zRQ+
mYEbHJfB199SNW6fUkydeWXakfs1jtZ7RtjWHUZkPKBP6gSq4kwCdNq1Qkz7jWL0xo6FNucFpg24
m23qbbDv6Wa/Z7Ak7YqEOP1DxPBJgNOLitOK2yg79MFsAjRuav+6BNRAKj/myh5Nt8Tft42uGTQ9
bngdETwwtGXNxU0kouB3tMrtkyHog+/jaUlfTd2LxyaBSwYkjf1yicE0SJESgCmmcOD4mGMPEq6r
pq2Vv+0UkO9qsSJCfHPuczto2LIsg++bW9FOFLCpNOpX2C+zKzfHum6HMTh9D+Zmv14RaccZBYKb
ftcp5d9cPNb3K67wu7Rv9Eujk1wWBm/tByb3zFdWTiFyfYVvXsCDxYZl3xHkgX3fnGS7dAFtIaAO
w09Qb66f2IwyvBC206iqXHMqE/KkvQsjadV+DNoEHfkQjkZ7szizFmJqk+wA5DJ8STEaJ4U/yUJu
6ZzguEeQXWZoVKGGryxk7XNBM5uhKgWTIAfaRBzbbbGFhKOzdrj0wHzpfotQ2O+iSQP21FTrA8Z+
rBIu5VKnJfzZMdRjXTJsMm4oveVT3jyBedE/btGKPhAKv3Up4pFNsPeHAwOGJKS5fej6OvllBtbf
bEu71JdwkY/pjuVIYvazlbkuu/WEqAQ8rC/CKev13lrGHnGnD21lklZdCSi89cU89Om3wcTkxgri
k32YN83XGgnregnze/bQMO4stI8YjXDqsSS8dM007fLQZt1xCqkSZU1H+jOHXz1IQIr3V7DQ9k90
W0ddzsmSKlgeObIVDl/mIAFFbntjGv/Ma+vsNaJFIvcs6qKdpLneygmUCaSzY43ijuPh8XYcc88o
uuPHpIvrz90MoW/R6imJipogB6iizgW/+1bIK8j9TiEc3at0P5t2zEqoaPQdxvUYmPfC2wEvwG9p
6SHLuoWvW2zLZvSpKgzGVkwwyacY+0N6GlwkZsNjMogg4AUptywrcJ7pDyB8/Esw0uUrBZ3+G2AC
h9E1q7AlfMvZ1xyO8z/RCezv5nWU30Xi44sBjzmXQMlR/lqgRHDLAOcfPLiN8YtYLX1+Mud32FGY
MrPteBCbqAgpn/BmETPQB4mS5aGHuQeK/QisCETPbLozqFK3Aka+IrwaHUm+GbckN1kq5te+7ejX
OAOEViyYS/K9W+A8Vdge/c9ykUMqEfZEHxUzhly8AmFGkrw2rL72yWTnwuEl3sA1OmghrbLr9bjW
SFKCcA0rx7N+gKxrImnhUHe8EFCzXvI2pfjd0QhJCIgbw4GOgneFMzNmAqSQlaL49+0wHbgk2w3P
Tw7UKaBYjRlBUVaXSzPk6w5Zk1MlXbx4Bk2f30VrusFLHfURxjPUp6xtomY4qhSehIUZ02wo6xiC
/ct8dvNrZBx9TD2jiN3Eq/tB6fxrUsehu2Bd3T2OWgw/NCjWN7CPGNy+TVtmiwEuGM+BRSO1iHAD
Q/zfTuFDbxSuAI7RPj1CbJrdWxVkX9d4RCkHFjF9aozB1bENDqqfdO5sf6kDEV/1C4pk5L7xsFax
CjFoJh9gTYeagaMgzSnMnBZkLdfSYwZbMdIeg4twxNPvhGx9vWumDeZHAhVx2dddd6ti1BPoAwFT
PvQTF9ezh1HCgWPSy0W+dNmvWlJ1Cf46spjeIMUIdW4f0VnOpgo0ZL6VNid5U+XJCAJ9j4YY7DKh
m79pATb92HrN0r3WQ7RPUoOMXmnh2zKa5+UlmDZ2l4LcB669giUJhrvJfi4Z/B+vAGVisgWAt/Zz
LTs9lqNWUQ9TVoPcK4dxVFzouJafV0ayrcTYkBhW+jS01zSvHcNVqNuHHE68WSFH3WI8Qb6Ge3zj
0SNzg9RZRgt5AbkIcneI3qMFkxCS5bqHOm47dkCJHjOyzc0lnCNxOTZIq5sCsYgcWRNYcwjqMcuq
GdO/VJHUCDIUzbJLHvb+dtH9xHbeNt2VU25OUIAlLi4YJhjctluKW01lNWDMfp3Vsc0AFO08mIfP
CR/968QsJv/gG3bXq9VRWLFtwebuOy6/atKN35nsaV2myFB+AGRwNyLbMKAGNbP6pK0j/V0AKwZd
P7ARTeDKDrGGBTxf2/kljJ1E2tGudP1EeVSnVa7yyX3vPAmWQnUap4DkGl8hQKqOynCJu/hwIgBA
4tzO7EeatLPaTfPit5cNk8M+5wAOj84EDQ6ON+vzIDf2Q2LQXrPPQ6WeYJ5Ov64DpjCUW0zkS4CR
HbQIUHF/8ZgBBeOllA37cE6xS1m6bv2OLCvLd3blY3uc0eteikjR0F/XPUPO4lEWf07pgvZiaCM4
A8RoYPdVO3aY9Ae70sHuMDwCA+xAQZKfOwvjBNine0UwvaOxL5oKpKFRFqpsJ3v8mGowE5a2+ZQt
VeCdvUHyPKGWdb2bSomOXruDOl9ixhgwoVfiTJrXP3p/aim4YJruc0HyfBfBrgfJxja5rfRtotCZ
ylYdlMRZj+E6bpzHcgCm/TtyWQDrX3yHNjombBu/TXyF0ynP1iku0WNGWeOyeEWnh6TDeLnQiPSw
6YxjdIdgrocu8Tw2slTeJ3er2LprE5BNVVZvKIVqD9pe2VgMUiuaWY/bPoqQY4ABU4MGLEc5Y5QG
xH0PYl6jAH/cDJ/CWCBvc8IHcu/R9aVlqtr0XvZgDRTWrSM6bp3MPsGWLs4KPabrTwjiMRkHzZBg
rFJ85rGSM8HMnRkjVO4wpQUT2dAo6YKDAWt3qxILh070oVk+Y+tE9KbnfHkAqCJR27tBhafw3b+2
lq4I0/Bww19vkU0XhIfmMfKU3Y7SansAXV/cLarGMJcEHhH3msHAEZ7eGq7vKt0iwFVhsyITCJYo
JPuVoWX0JBtRg+MhahOWw6Baf9PRDqUaZkhipA1mtSV2N3oC807S+62/auc8PM7jqE0xAv9/bLCr
TmOweoyl6aDSrhGMWxyoFlwZzDoE3QuFaJrUh7WOc1/BnHgElImBWXWRw3icl+nK7StVvQ4ODarU
C/RU49sh29LfTczoirhVY8Lfgg2UFUnf+2CPWTidr2YemcctIZJgtlGLYUMzwngGEKbNZDnKEYRv
B28sDF4EbOY3tHnBh+0+bfBQS0rgtNuEbH/LbwASzV84KHIBAH+0QuBnu3l0/UINIKDdJk8wq24B
fzTEtJ6iD2n/nTStR1MSMzAfORD6cSczgvFqBPXBHbMCmRPURRgyGQSLR5/Z9d0FxkFB16stYJki
gTODqjJkrnO5AuPD5CDuBxQAliZzmYiRfmZziLoaA1u6B0A+IVoYU7giEVrXrtBdDkzKZXq8W1uk
vBU8ubsL2TXIMUxNzGluU2O+R9wFPfK9bbwWnezDi0hz8jh7Gt+D+4tRPYnmDB3WQM3zTgLtu/FD
ggZYUyf6yz8gQ8EMG39F62xvieL6ifBh6ndsnsSvJO5wnY7G+u+bI/Nt7FTzaxpg4YHiAPMbR6dS
hCA+RE+mp/DsNeg+HbNoiH7wFSEPj4o9BlzUYyiTVfO3TBE05r03cNxa86aHJBlWLvBrE8kO9xy9
BYK2PKBU9WMZ14l7BkmafFNAJnCRsQbD3fo1JOIGjqXAk2o9mc+jyxsHvr/H6IMxyuZfcwDPFmTr
6S8CI8egRDGaf4qiTaDTO9vlC7ESmXWj1+CmF6dIY5uG3ytcn7rcdGiuAI5AfQsic0YwJmwJ0xub
eEz+UU729zZ0yHexpLqNLElhbWhw3+WZQbCaszR4mHIlpquFZ5EFwCRNUtWYcFijkwEbmOM6UVhl
JXBYSSodKvcbb+gUrJBqduWIdupTuDVolnYrqq0ioWh71LAmSY64BEP0tSUHEB55Odx3J6eBPVOR
u0bYixXKD6T3RZqT4TcnktJS2WZCKWzi4UFYtmwYcwSnkT2jCqYvkW3D+xkpSFCmYPncLUj/Z4QD
zFe6zCAfWaGMt8GMJLu2cIDncsSsWcQ6yJNMm7kLCkXgrzwRghYyXKkssUncs1kFeaxDMbeAguf5
VXUc3VqDqSVdsVoz3qWwJ/0x4+a5Rac5vINn7xDdTeDCc7TsZIfxGyeE2AoVzl85On/BQcRuvZP/
x9l5LUWuLGv4iRQhb25l2kHTNDAMcKOAMfLe6+nPp1kXZxAEHbP32rHWGOiipKqsrMzfiFKTXfl6
O2PlxfbSN5AR6f/FwiJ6vOgNe1nTkMsrZmRFoHka3BGB2IZveUJtFhJlzYVWqJOENhHOlbcybNjO
q9u+9gIfRzb7P7fMbJJJKupU1M+JlCQVjzogVyhAg76JCY1pL28Ixc6EiaPmmYVo/G4VcbpTp65v
rkpT58iZ4NxIjtFr4yt1cEN1GkDIWx3p23AfqcDjl2MOTcyyLBTSvyKgbocMjew7lHXnp3jspef/
HCx7HAWvIL0Xv3RjoPCM0DOCqzEt4O9davTGf16VPAej2meNwCdnNVbBO0U1Us2pElP7Td9Do9sB
imBpFmdwrnK14ZqFcLz4g9oJZfGcoNZj5wT8+nqqM/FbKqiVjLnZrEVY8aW4ysmiTzPeCKn/umjJ
FXfJoExvI0iuZyaESwuXjTT3DNghuqNWfdNuB/TTDxR8xMEuWEL3ZEv46AWKL4hOYc6Csp2kVnkW
tTx6BKUavnTUZp+R85TCLX3q7LGKI+1XjePlaJP0iNT86c29lUWlHkfLrAY8tTAw+wFwvJxt2Y8R
AcCNQk32YpIO3/M5qLWDHOZ+7bagQVjIEDt/sx/HiuphRZ846tOJFA/kTeXpiRCWXlNH6lWD2gTt
pjFXf/lKRiVAKkzfDetBHzZGNIMmjDpNFLgxFEITHAMtzpgznQHBGVmv06boOvxtM97dIZcKkV4y
hMxfSTm05zKfSWrxkvQ1Z6JcrXharo2xgxOZIl7Nflr7NsJE2rMgj3SE8sCU203MBfbOSHCxdCxN
EKZ9VIfyA3BYlAFwSyQ3MAo0XIpWojoTLHmAje1neUpzpUwJ7kN+L9S0xzilcfywZ6k0zmKj98Fm
ENrsxSjJjpwop1htp0KA5Z4op+VDW43aTzgX1GdwSCsMu25zyBdP/zn5KdMkz9dJrUaCrSQ+1aY+
0IwTWN0ycU3O4ZlWu1kRlAStg17Xow6xCTBwSbd+WhnxlUz4oPIcVq3kYYoUPcRJMFHu0QYh8gpw
SSrlPJmyctnqsyNPHehhKZmTR3hdemZn6FkE/7nQ6bk8tzZHJD2OjpPmV4OIrurS8ZEO+pBhlEZ3
VD/oyeIB6dNuuw95lI/lPEMyHmMrKnAaJPY5fSiHSA7nRVVuKAkFt0246HOkgy49CmLYfYfvwfbL
Ox8AypSVY+OGqolfcSCUQDH+GI/9Z9UNToAAqRo5jS75/626s1zGE1aKKDEgbgI4Et3EhktspFct
3kCZpGzTFt03TgPD99SRS4StJpO1yXFji6+1afB12xzFETPnHmUiJ80pqO7+GG6XWhV+zwkpOP5G
RrcvJFIi1wQDpd7NSdpdT6pYRNdkZ/r1UIoGhpJ/DLM1LQNUQ+ZAtUaSeql2s14WKMBgwrxIfmrF
cz91TKRSouCccen6PnIngOLzx+QaI2H/W2IG5QSbcsaqlMI/bQBavfVVWZKmbDJq6omTYrvWQZ9V
6hupG4ofQipo0dUo69oO9nX3Q8dr1RPlsKtuKN3T82ohRU4EpUr/bfVZ9HOit/orpfr6qJY60Am/
RNHHUZKA7A0fvCRzo75UTy1wDxBi9GDRUeqnkZZDrybOJCNDjujmUL8acUEQ7EKq5ZwkrVE7cRJh
cxcPBku/NctcxR+1UR8toEevYSqNj2JlmJ2dYYT5miMSLblx2Atn8okZhErFD2+Y2TdV7erHZCxE
yyZWSzEcKHAnIMfUmqRlCsoIySNMu7m7zU2Li2ZRUWpAQZ4yV2nUpi11o/qqSa36TRGN7ozjI83n
xuybH7IY5OQjXIJKvH6zep8xQVI6v1OuIlJSPAkxIC/ArKBbjdingjBtXwKyYOtn5ZazMHwz1EFr
kZeeZgWdpyrSXVXAK9n1eYCSAyzXYK/6rAPcg5UI2DKaYfTPSwBb9hKTIa3wglW7xlbqOjcpd9KR
S8pHBKbSn8nY1wUo/Dk95SmZpzf1QUlbi/Zu5lpxr44bjGSrp2rUs8qZDKxjbXA8WCjOPgcMvXFz
fCkTMXnlQgCPO8qE+UGWJhHWilAND2owxXfy1EsUjaSBLhzHR1E64DXoTKdmW5z61q9uMlVWvtU5
N/0zZSdFdSqQVy8TzLrnoJiy+0ZPSLFBgMdgwiJfeQy1qYCBP0XKjUCbO9wVeVC9hn2xIBC5gyT2
gIxbu+3EPBHsvsN/GxxUF9NOopn4oOuAWuIQmUt7qPL2Vw/h4kXnChqQbyjsT4UkgWyCHpflFTqu
tg5W2sE3qZUAE5V0dBZXjZB2hVYMPOcoQ37a7jpZOo/KMOK0rFklpUs1fgVRxyVkavufI8jizA6b
ZRU3jRoVu7lM8qeChjAL2kpHjFMpDIg2vQPMoik6UYrC1zI8hm2ZG06tyjXn8MA3bapQ7ULsPUKK
46koTOlOzXyAQ00wtueg8YFYxAvQ3lbVIcSDXu6EJ+7m6UnRKHXz5GPhVNZtcAudBvFcX8rVvSy1
1IDrBaLEhtM0BCKTojNdg6LaI0XF8lkMBlnzDDGlLtvXkXQDZjLXHXglFK64r+l0pWPJmBziLOAN
Uq/8PHVYxLhCpfDCw5ZWsssWgOURgNh7EkIFc20lnMTdINB+J4YH46tZav6DRhbDc9KF7k1SZrr8
KHhG2MxI2sRFXRjCR8mPNP+AJOtwyisUYzZsBZRbgOZxVhYapnt0YPsqIHNXaupNWalzVExFfS2o
xBbbaIM2cdtUrWZb0Cf/BN+iv+tls33r1VatdxKaIVd5SiuezK3waUuq2it1vIHwZ9TBDkt1I6QW
GxVbcahA9oyqUF4x1QZoA47hoTNBufoVsX4YAQ33TSNm+u9SDVNcZOs+f13CA7c0eh5oeZNJ7A1/
zJA1pF/6XJmDBN8hVIKcE0owKc9Qo7hJa8gFwGN0/2Y2Uhz9ZgpxYBHCuehxfi6CkpRIjQ6zllPB
Ln1w6hQwQH9sKmFKbhKr4PDMqmyQWT61ckg0ek5o3ohFyh1KT+7Edox/DMVsvOBDjr2pFiri92au
uBRhtOp/V8cQtE0gi3AMg070Scv1XvnOKoyvgeL/GPHhrRwlL8n2jIj83JhNGUXIPBV3sVyCZxpn
mpwE7LgKvdgkZbd7gZuoHdOuA2xkDfIeUE5oYsKc4s2k54LymgOGI1opHMNx3mOH3lRsCQr/1m0j
l8ptSQU6d/1BGZ4rmVOTxacOb3KO3ZAdJ7F+1Tdgv+wce+LHYaJdRk1q0I5wsAdWOODK0OsA9tVo
Q2ELbGdGQhdDryXxwIurwWrgNfyQWGMAkG0BIBYajkPbvuojAq6fP9eQSJ8GpSlucjEalV2cluIm
F8ZW3RJcq8Qx2qINVVATlASxA6KekPaHJKf/KS2dRDB1pm3AKO13GGFn9BuySG+IQDLFXoxSIDqg
lU97u1cS9hMvwa/BMbWaTuOjx5h8iHA0axTK40dIZVQP8jHRDbxlavC5lCWoVnBuhK3Xl0aqbHAK
oqQdd0r9VMTy8AvP31BHkYuOsxu3U3VvWJKQXgP0ja5iokXmGMNyq6LHzA8BXCYKMHxW6yd0SIUr
WIu0sY15iF/VUB1+0eNj1DppEsulbpWap1rNKAjjcDhzH0D/lq5rbmr1d3hwpXYVakX0DdBB21I+
xyEeyEwkgBkZobIkTl2CwNoFlNSaa+i0zbEHaN45JuWuGQvdqYzCE73WUX4AYTG/kXj14OFHQ/Wb
xzZIoIJ4NRJcxl6glf+KyvfwNAbK2G3pyZuFa3ErBmPRCahDcr+muB0Ys/BsIYmGbJepWzdhl1gh
aLDQJLkuivuGNj7AKjES3wTgEbk7R4nme4BDLKBRXE0zV23ACNHpXjaA2k2IFcq52VeOyZmik2Eb
IM3o9FkPbVGZ57lTBpFm5cw0YShXW5C2w3Hum5ny20xkcGmMdHcBoOmO/pCUVNQ0zeQxQh5BcTvM
slH9AQVIkplkE7XiRiPk1FLCpd8EGCIBGWvbFlyKECa0GASWDf1bZByTcsbmuqK2HCFSRILrFKJM
y5AWXK5vkB0r0WZCSs3cULlPOJsUmdacCowczbh65rqc171M0wqz1nuSx6H3QhRUD4jJSFRYxFwQ
uBw3LN9hFFFVqOJs8u1kIrzTR6Tgs0cVnMs0gBMDbNccS69aIifwhzEvp0Y79cnoZkqv/gznnBgo
RLjR2IKSUaO1YjDAdkewvqvTKv0GMFEpPW7142MfhFm4F0i86W1EpXI2AhmFrVEqWZGtnrcSXUNJ
Og4kN69V3Jv3yAVbgI9wK/K91JqhdM6K3N7UZiS/hIVsaG4cj+J+1oKiPNVWUZ+HKddEsBsmCPZi
Se0zX0lqRxU7UGFk5ALM61xvvudhyj03RhaUIA+I03epjKtnwgE9JDhmQHKVPBUEwG9Cd0uYmntH
iRMwjmWMotFQ/TkH1Nbq7UIs2iOhkT4xOCL/CSZGuptQVh1dAA+0B4H5VM8T/LjGrQC8VQd8U8Tf
wZibylYUqPE5lAlwwR5EHQdJgotgetKgcP1E/bz9mQVyM5BQJ8EjGrv9eQrrnhOm1IPXqp2m34EB
zG6T1FbyZnFI157OxqITUcVmhQRNbIALnUg5HVY8zW41FNg3sBhI/Lh6Jz+o0eevRWlEmMIjDf9I
F5cazdC007EoBusV7RfQPHSMtYouwBwDWVYE82caZ/NbxN2KWUkpmLYuM3rViaNYa5d2ntY7YmSk
LxHarhj3SDN0e5VKHV3PaOF0NL0FWDQvZvzDIQHx8gPadodmmOTWFg150NgHqhCCMoqD2jNLC9g1
ZwuWSmagzoFDQ7a6wXlMnFxD1MVrLcgxG4ikIS225I/J96ogKpPEAT3q5JLQD+Ax+wHcNL6F19qC
M4zkTPBAhPu3LfEpdEjzJa5pUdHdy2DFv5X0bh40vOBfVU7H66xIlbs4VdT8XMVDh9SOFfXTTjb7
8b4JmwYZ1LlWkAEq09bfToUS33Wl0uAXP0yQViZxptpI7oJo6iybielxSxJ0L1ILrotjU+m1K7fs
Gi9oo5H4aA11vs/VUe6g4w6qaVFb1YgPmtLy1yF0nh9lNJeCg9ZagaJBLE3xm1kAnNgikdH7x547
DoAuw+/vRnBzv1SuBrxqaRFzyQNq7b4aAiebQMAAb2jF9G2oR//BJ9P/iSjUUmadxkElEJADelBx
lGf4ICA9MuhBz1U0cpDXrWRtq3RI6LLCEMp2I/jOO+4qJcbGsdwAn9cgBw3SXElOk8JEtBNZTlMQ
JhRJXN+HJkMeaRi31KbJNjVYAVdxDfzOjbCYNGkedBxPgGuUR3mqorfRBNmLb7xBlgv7r66cSjT9
2zxWwRmR+ZPk0nYNk02hZPq9kMkAeTpEQ27xnMcWvTL9brChv4FmKg2xeEiMaHoxO12612loiZ7k
z6LghpZFcwJvqCBykjojNU0FJT9LZmve4d5YPItCowFYKopAdoiHlA9xh8uvoaQJObzmWnlFTx7A
J3DcbI8He9p7ErrvrcPPIz74cJ4P8zwUYEQooP5skih4lqmmgaitxiyiE8sSs2UlEyaQgv2CuwTg
BjgACPx3P59C1QWRNNOGN8xyC8Ke71TA1hWce3TfSI6B5Nudgk6aF9StcdPGmjASqlNJo/YXx091
mUQPlp9Yt7QNqbgMvj8LS4FrLGxTF6C2jJFKuj8R2V5JGrhqyKAs7baA7GBDrPLf9JBSxaaxqlh1
J7AQFjivdjqos56hdSEuJ0wsVmnkqX1IWTYF0aF4UmYap+XeqRFUunnfFE1QO37XU9tDv0m+bvpZ
/RYkRDEbgcsIByKuJRuzLklnEG+ufw8Q/q6jKmtlt69F+uWRCauAJ82CdLS2ClK7nyfhCQIi73ic
kEQ3o1l6UEYDqZYK3KVMaYwUzR6SQoZ4k+TWuU38WbO5rIckDb4ksSFEWfg2RMr8zY/6TgIQvtSZ
EYPrXtW4USpnHqjDODMOFP6iKzjRcKNmdJtNZSAAn+VabU+KIR2hi9U3phUAODakjMw+UI0Wsyir
HEYiPe15uZlo9c5jMvgbgKJqsEulxjoLeYiKhmXRsb9S+oFuBu3wxvUJ+w0UC876vRyrlmA3LV7K
bV4L3EVb2u4el9U8hoYYF8VZniRgAWDGGkg0vki/C45c51VjOJVuLY6S6pgzFGhnFLvutVcGYfCG
rpbijRVaCXsqtHQyLQCoM/C5IIhdiZJg9HMMKMx43SxIvZMVEOBJzKYEyIVVydEB/TErOw59ZN5q
UZJWrtLPKTStAozdCcoPTe0OngIPo1Kyn1KSS81mCmd/dKeRktUmCEmMXYmnWLszQZzcIqZLxYNN
S0GiKiT7d1FlkEtUWF8IAD17kpCJvforzUcM1SN4H3dFO6HwstgAHDFEaJ/AzKo0IYtGP1YafWdH
macSaLFZxmgxqr4E8pbIZQs0Um4kXwLyMlJJBYk3AMt2U/hDPwu/nL4VqRSfVFDp4gIYpHZMNdbg
IlqUv02/5/KnAji7m6keknHFGg2b1kjFFzK+oXW4ouSkoH1tnqRSqaStr5rzSyAM4hGKaS9eQSZT
fg6apCzFmRR4Jl5CwZ7CcDjTHxXzE+QCRQLDr3QhbXYMDhxAQOwoY4zFc4jpQeIUqsgL60VRe+ia
mrZy1em0dxOxsfaTELTDduB938+c4ONOpZqxj6menFulp4aExll3DSCCU7IAfXJDdsBxkYpN0dtz
QxFja0ZVTQFLhk1wT00yJQUpehm8VJ6YZz0rAMNy3ASnKgVJbPc85e8g1PvTctEDiiOm8MEEoWhu
4Un6P5KSCrLTKyM3DHU0U2AiWKo8W+HEZg7KcDLAZ6WUK7IYYV0PNTz1R0qxDWVYuQwfQjVvufmK
VvWMzpCeUmTL0x+BVNWgIPyEkhJs7rQEk56XD1IBAoAgC/5C1dA8tqMGU3KXXTy9WJM+9+TxCliQ
gVKtBgqHtBGctJreqRFcBoculP6mmbVx5gxqlE3hB/S5Wbq1J7ZBTYpfl0rpLNF52sgxxR0vHtv0
tdHMGWBkaGanBYM6ueFYjUcyl7zRdwEd7ckLVcmskJarhGPTc2rukqJQ9iY1Edk2EZjnCl+MpXRq
IAP+rH1xPumwRVt7AFjR7dqZ+tst3DMfbVPBKHg2oaoVHi5erXE9t3paPnIvEB4Fi8IobaBSBJ+v
x2S57VBKz2k+qyI5INejH1YQ94LN9QuMoi9BmtqWFajx7wauoRYtFyvXCBIKpTFwtgFFeABA0fQN
dGmP34YFdWmjlHB57KKb8KL9mnG9aAn8LW6AeQDSn8g1iIicUYVckbtTadKsCuAPDWFVfhG6wre7
pOq2RjKMt4KQIvYq+AGvru3cNOmk7dfDrwnfy/B4tULHN5GxpQv2nmsNh7Vuga1kNtQrrkMpUOZu
J4ISVGB3lid6FJY9a2pwVY8psOCvB1+7imEwx+iyKNJ1VPRFP+X96PiE6Rqtu9xOfI5cr5Z8NlKG
LaCXcKuIgDVRRQtgZtM/j7hRwRH1khy0CUkMBe9Kb58u/ERr7vn6J1pJrAB49qs643UEhUocpoXp
xoElO6RKjxWpMIGHXngNG81L20FD38uctnlOBUAeAqDhEyUH8CTWhSe1lgD482NhYrio3krKB2Wx
aiRCdypX4jwLKLfCnQsAdqRUI5Om0Av366ew1oZYRlsUPoxF3RRMzEompRzUHJt3kCDAgc03NTIU
4HHQpUgLR218w+hXviCi89kyRHJP0rVlDUraSvoCgGRTJA19eOiA8q0OzIQ0VwKL24rjHvSctS1z
uNuFov+b/cNicaiDNNaXFcj40moFmgUMRPAvtPsQwoNyRfk3Kr9lKmfBnkoQre2vH+3Hib4fb7W+
Jl2AmFKWEA9zceBGO0zHiXGvwGMoYMWr1q3MqrqztDTYfD3yx5XNyIjPaIgaG/hRLT/ZX5JPzaQV
UqSysnFIEg8B2FYO3rL4R62WP88Tk0CWDYwMijjvR2HoSLEqdrQySO1BW6BvZiYdaMoP9wZ46wvr
5uO+QH2b8EH3mIYgb/P9cKZq+VYmsFLrltOspTTsUHH8DrlG2n39+D7uCRWdDQM3cto96Psuj/ev
xweVq67HiLPBr+RqTwYDFwv6cOQA8ISVXFPOvWC7/umICkJMMOChJqzVCyVu2FXWsefLUBh++BOF
LquNl0piHSa3qDWaF3RGPlshWCeYECFM5J/W6uIDjhBqsXQDAPVzX7Hmsind0mj6/H9YilgQoQkv
qSpvbfUsI8DkZBQ8y7kyKrDOrQXmaKwujPLZ80OuXAI8hQsKmPj3b2wwwOkmIaO0IAR0qIXWvItD
ufZGaqx08KmFfb1EPluMlmiBHiAtI5qtdphe1FowmcsSkXrrPOQIgzhjEBiC16UkNRciyVqkaNlp
lmKIPEUV1Yi1TUlhdSk5MMzjWgqy14iGHvjQBOjKXF6bTb5YEgtt//j1FD8JXxwMiJBJxEqcnuX3
z3T2zVnRAInaaArA6JQMf9tM1FuVLN5UqW9ShVDUraoAeLww3U/eJiKwdJvRZCK4qKtEpZejIjQr
dnrjd+azDPE65iyW+h1mZd0mgB/tfT3VT3bDkpBhzaJIHEnr0NIMVgvGLqWXBTzU1VC23HSCcsmV
/JO3aMgouukSKkVIP6+mhVxNEOfLnvPlRBpBvSdNvFWaRhI3Ui6CRo5icTpJ4H/DCwHt05E5CKCw
YRaIXvr7V+mD+x/bDI+E2Oy4R0OG8V2/YW9QJGmkN2I7YNcBKqd/YeBPtgnjiWQXiF2Db1t+sL8i
aQ3l3YBhyoNNyvHQ5GLvoQQrnC0qKBci2idzRP5PwcCErbLYhb8fqkpFeR60DHY+3D9XqIGWjVoN
8TaigXQugSk/JZJ1Sa/4kwlaizY8/kEaFRRx9U4hTKPB3LNJIgkBHbEGjgS1xd8GIiyFf16kFpgP
C5cNbG8QwXw/wRjSOfUkJugjCORaLTimodIu6b193AqL44KIyaqG4pu+lgQUexMXjwofGAEBgVMy
JOD5wri/kIp9Msqijcc/RE8k9Ffhs4OvkuWaRTPaACNaSrkGWifU/3lbk0Wz5WQ0FGUR9bP3T2wU
w34kfQdkAWgkO9WI6xRuUQvtpf31yXQIzBJq9iKHHCvh/UB0lNQgp35qzwPKpFEm1w6AxQuKwx+j
4h9LUfSysIgn/VnNRiZhGcacIifTTQ4Ez2jyogb8RznC+vdgWJfT878uOcR4MWsEoq4t1iqruBEB
66Z+QMasKCVXttAsN+U0ju7Xo3wyMcMkLqoih5vOPe/90xvQbw3qpOIqblW0DNPQuMZMptmYRhc6
5RhcMuf5fDyuABiZkt+tVfF7WewMg7oOEAShof+HnSjdVT+AaROLcXHuxlr58fUUP1kgTBEbM04Z
NP8/XL3Rx4e1woOcwjyCuVvQXSja+d/XO5o8FMY0ZYm61kpo2Gp0OO6QDuwuFf1bc4Tw1MTJdMG9
8mNeQClK4ygxOCuhxK/2rq+HyE0t8pkK1nYgtVFlgTUz3APZt7bWYMLBTYKRFl7TZtuvH+Mnb450
C71ADa9CiVrK+5XSR2JUVRiW2IWuBk9QgLQnqHlqs0kLZDtsPQFStPl6yI/HCsYUPMqlk8PpuT60
w0HOrQEXbdtX8nmrgcp6SQU6kteCzPX81ofBK9lFFVLP/XrgT5aMiaynyQY02X9rrVl8L0lg0Ru0
e9SqbmJNzeymLId/zmOZnoXupQzhCsnv1flVlCNcfhPgl5Wa+RZeo4/Im5AbbIU0zbQLC/SzpcPR
TDVweaKA5t6/v07BEgucKvdSc4y2aHuBrUsjAVV634iP6BFOR42i3VYhuX7498dp8BhxGzFZPtqy
tP7KRIyI2nWga6D/ATPdSmg+eQWaihfuqJ8tUEPmTkwOqXFVXeXMaD6VCorzIJP1xLAbAAsvyoiq
J/jbagdPpNn9D7PiKo3QLdceQvX7Wc3IqRRQBFmdalFGLiz3UgfmhUjWhdX46cS45S/JB/82V3d9
lKmAhaLQgIKLD4cAZ2AaJk1hjekuyTSxuZth/lyqhH0y6GKSwr2Hh8kRvjoYZhmYcjnDs5lwbKNH
BYVrAgdfoGsTZJn79aP8mMmxOLihatxTORWUVWzJhgSWLbI6UKJayEVONI9V+gT3y6hGGOLTIF+6
1f3xRXlfD14sU7hZmTxXsofV2xszKwx0WhO2xbbLvKhvxeMwoiBmRW2+801aR1JUNdsQZCQegALt
KTuYDBqCGRp5F5buJ/HGQviEkK7oxPZ1ehkOIDNxhyrA1tSBh5EuEL4Apfivn/Lnc/5rmOU1/LUP
Y71Ne9HH/caf51G3624R18IqUtWcTLHak5aFwl4c6K+ZKYq1ZUorGuFyE1eeWLzgU/XZ+uKN/2es
QGRY7dYCMTnfUJlyAHbcUUGr/lLqKgESJgaHvuGO9vXkP3vEFL85Szg5F1O393NX9RlvCmQZbUNT
KnTXYBAZUzZcmNVnC9nASFxCHF/hXS6z/usJgwxW07HjnoCEXvXsxwF9xEoOXjHevpQKfDoh7lyL
QjnYXnH1AFFHBiAgkXDUmIi7fg0ikEZNeCHh+HQUSCUEHmofxO/3E4LX5JcytqnYBAeRuUGmSO1c
blowoL9+P589Oex7OFopvFN8WKXxNcm9CamVgYRW3Agg012j6I1zCWP4/n8ZCuFna0ms8QB/P6es
GZvWEnhJ5diWJ9NvQzqcJjBe0ERD/O1/GAy3K0pwpNjS+haOnE2IOjQJb08DZtN1LcaXIMTdvk2z
zddDffauSNE4AJFj5oRfzQsMk6o3GaUbRdGyM1IW5o1u9uaFWLV8yjpwIpJsLOUhToi1FnOe9voU
zay7vAE3aXdgRfcEx+ExpEK1KTvYPl9P67OVQbEPiCJoJXpYq+NPaSGNZzqtM/S0cieeocfVMSZh
5PXhhZf1cW5US1QWBQcflYz13AZVstIGTPXCpq63oV+dC7M+AJXTd2Id9Rcm9sloJrrL2Cfg+bLA
zd6vw6FTBNzGaa9rg6AfgswSHrB2grojdfMtEn3+hXzz4/qgsi5hnEMeIcN0Xe3lSNQB7AsFpHZ6
7M+lNE/U3OTh7uvX9ekouByyjSll0PN8PytB6PVxRp0JRBsKrGof1DdAOC95Kn3y7JZciEYLlwOK
zsvf/xVoKdfDjjLB1ef91N9Kkr9AJmD9HtRs0L/LlZ/+/udpsQQpMsmo1dPhWU1L0dM6CkKuBCiM
kaxn8s8oN/7Ro5rCAvcBlbBEQOfwWKeUsoDYRD73XO8KBRXdBu0Yqstq7gDFgKAm8s4u7OaPb4u4
rmG/yZ2SFHPdEKz6EgZOb4HnS6vu2phj/yh2gzL8c3SHUiEaOJcbRHfZXEV3MwPvAwAkQRmjLbws
yX7NC9Ss1uNLNlgfJqQrEjdwQ+SKLONevtpUKP3WQidCRJSqKXrOCqH0kjb85/o8o3A1JZ1YzBKY
0PvlBxAUtLeB3HANDbeyk9xECmeYhkQ59l0JbC9uLEB08OTZ/ChdVhf7ZJ/Ncwkb3MiJIHQc3/8E
KTedhfALeqlOwcpEtRJeq5GW/ev5z3GyeGxxMHMyExrfDyMiD9+pSxkPWpjpWsrwKwdkvPt6by25
9rsjhYrnYhey9MKt5f/vB6mjvKnbRn/p4AiXhXDWo10mGptCkm0cb0hwIH3h13BhTX6oLiyjQjai
rKsugkGrdwiWELXeUX8Zu4MVmtdZ78mF76R67M7z09cTXA9F7Vik+4BJDhVXGNCr4BGhKzEDDYUV
rI/BDWonvtMNWX8loLfuiTo8NSp7off1oOsV8mdQevz0NGVSjHVpL0Z1SBuKMbTR70jO8ANSbzYn
0/16lPXp/N8oJjmvoizGeqv9RhM6QA6YqYXQnAZAJcJSikVFyYFXfgkw8clgi1kIPDQ63lhkrKJ+
XRTYlGkLGjH0GWsozTsONE7MsfX/ceEzr3dDrRa+pvu+MVcMBTdxgMSQ+VvEVf41ZVtGofKDNwZ1
NSLJKi52nRSCvEedkSCjbQe6xjTbZmPz9Tv6uBLozsKCIE5RbaI+8n5/wTiYY02HnOhHZckttglR
WEz/NfLS+Xk3ymoXcyFBE2Dk8oggqG+jm/UsJtLz1zP5uAAoRyDNijnH0m0yVm9lTIVWDmak1DAt
0n9KI3oOKQTdRVfCuGSV9Gfp/h2WSDAYjBIB3RL6S2uHugGNBHXq6WLRRUdFhpxRcDhKm+tayKob
wLfFptW7bof4q+yMUSzvUclNL8TGD++OOzKeJxLoLXPhcK5mnFUorGeh8WRFMAAqZBadUU8uZVOf
DgLCg2dKx0YX14Mg+4KMcPCcTFVmeUqlaIccrzpr+09vb0HEqFyEaKEwEP4nq1jRpelohfo42Jjh
hSCXS/MbuilQSNU4vHDHW83ov6HIcrFqpYeNneH7Ja/4RpTkJLe2nkH+bpig26WCdClIiO/HoaFL
c4vHpiq8IE7JdXOBP5IEKZTOV/vT5rRzNxvb3lwdNxvX3Rwdfn90+bfrOvaOX7nHq83e3vM1xyO/
Pbguf7dzD/ydd+CXfPVmvz+5O/72yDfv+VLH2fNpm63NR/Lxy5dsCr5//7A57fd8ms3H2d7y15v9
xnnhS/gRbGf5E37NbzzbdnbOjnH5Wj7xdnvi469cl4964U/2nu15fOKTe7T3+wd77zl8j+d5juc4
zvJlHt/P5y0f5lzziyMz4Se6W4bf7pzDo3dYvtQ77G3PuXFcfs2sd9uCyTv8dBtvd+04m/1xs/yg
/GxbvvPOeeVTd3zp4eZ+t7tfHhMPavlu93jM7GXYe4c//noN/ilc/v+u/vDG1o2aLK4bFdjS+bg5
vew3D0zKc16d3cG5vzDSn2LPVyOtgnvb1KncsjY27vnp7RTYJ9t7vnFE+8I4yrJtvhpnlV00VVPC
X2YcXtHT/u6O9+zwvHklu6uje+U4F7r9qzrix0e4upH7UlvFKKmfj+7LA6uF9/T1OwLhcmFKy7b7
63oHPhv+EepIx/PV5mpZ0Jvjn3/47+llw944sVaPL8fNy/FU2Wyc48sL79K+3rKw9nfb/Xa79bbb
a/uGFXZwrnYs5+fr6z/L8dp2bna8b3Ye28J1zleOzf70Dmfn6orVd9hdCOEXF8Jyqv01G1XE0jLm
eblP7gP7hid2aVX/Sfe/WgOreIfUDiRGhrjavJwCj23Jdj8tG57Hdsf/9vaWXy27OrCZ4eH3Di1P
+7e72+1+D/b5/tIS+dMR/+oHWh8pranE2bIoT/uH08b5vdtH9ma7WR76cUOMc++PS5jkxfAiPJsY
6Cy/dU+bB/dhf3d0nwpi29Z+unrb8AFM5bS1tw+3PY/PJYrc7besO+/AOi/t/2PvvJYjR7I0/Spl
dY8aaDE23RcQIcmgJjPzBkaV0FrjbfZZ9sX2A6t6OhnMYXTtbM3VWltbpWCkBxwujh//z/95h8fY
3t3wql1Xtt0rBsQ3y77zDqwkK9feuN4V69DufFlgPh+qbwfkz57zKLZKCmFUJEYqC/a5/YU1t7f5
3l/XK/v695WZx2MR3TvufsWX8Fh3P/8Gylsc8tlXOAq8ZqwNp2Hp6i8s7+f0wvmyrp3fuBeus99u
Wa0335gtLNas+OwSa8+rWF5XK/qcrWez7ALuF17O6pu7vbhgwWbcXFwHtv3AKFrxTtglvB2z8Aur
9s5+W8u26+3F9vp1G9iv18s/+nR78S2yb2f7KbC3LHasQxfX/Pb1ldHImr9xDjessfz3anPj3Wy+
Oyz5mxv7ll1ktO3AXjNVH84Oh4fDbuPdbXebl5srdgrniu3A8bwb1348YyPaXO3dG6ao7e12Z6zZ
uw1d79Krb93Mk3+nu9lcaZG9ZXPOvny+dzbegan+9oP3N/zxsijcuPurL18YiM7LiTfy+epF5PZ+
voNVKgSDLYZdcs//Gbvrc5ctj6lvO+7u903OOTEOQNV9umgCs3vfbNIbRl/QLG3SHecXzH+m2tLq
sntXNrPIflr2epZL5sXW5gdZHVbXy67Mi+bF86trPrC1DwQEK361fHa7XR/47+aGTnN3ztVbYEO3
rpZdkxl1YOZu38KFzW7HhFyG+moZgxerZTkN7Q1DiO5ntV65rMf75TW6my/nRDru5sLlM5+/gGV3
+OeE0N+CPxQ5bzEmZPJjgehcFLh75iEF0KGMMS5GNWeKOJ/SUR1XVfzeDKKPhYnMLYJ29JqxM+yR
NQlUN/ZavYnHajrD3Lc7aF2grUPuMSi4HzX8MSirHxLYdvjXdMFWw07PIdI+df46Ohu9fR0dhcZy
MiJP+eGa2MxlnI1x8CqmMbUbNUn3Iy5TqwjLgfPPO/hNrn/cw1QvyMTzaCpJWb4faqqaQeSYCK/D
uL7tqLnG0VRZz36ygSSx0Yr6WxcN3zoJqqHq3+Ra92VEGDiRjKvaZAsu6NT10bLMHn0h8ismeRZL
prrhWMRN5StmKSbkIlGqLeU1w5Y/2eUN4rNLLM3zZJVEcyZfY9UbPc8RkJATIvKfdL6u64qIghwd
K57I7zvEr2e5w5W9t1Hsg1bQi8KlrKt0qzBOT0z0n4zud00dRROVNMnhtAy7sNWFbcKAOCNH2J2I
wX7eisXRiQKDJUXx/oFq3Eb8PGUOdXMQrmRrFFaljAXo5wPpp62Q7ZZQZqEN0Y/GkQX8KsURl3FU
xPE3zGqag9AL+vXnrfxscKDAZUpwbYWk7ig4QgcblH2G2U0SSfG6zwiXKdSVAi9Qg/ZMLDHbkruy
3Cl93N/9+aZNmQGBjlv+OFFwvMmlIcPxQeHO9HyUtOERXJWwxYFHu8ww+8XRVtcvOZKfKtn42LXU
M5IGR0VOjpMl4f0LFAYUN0IdY6tmqtV5nOTFJrSaUyKYj11rIszi1YmmSN79WEYRilWvi2U22bgl
XIu69tir5q0/67seYz2s9NuNodYngssldHw/17koljFx4vZbpnLqKLSkLHzgNiSfMATBQ+qLVcJr
2ZSSEukOzv9liJV2E6CNwTk9vv/8db7f2ZedxZRIJyAzRRWD0vmoaTTN1PgnNG3q1Mkpox97RRlW
HghKalDb+tSF0M8eVUWnQsEUYlrSGe9f4iTNvhrI2BQ2Ay5U8pjFD2kQ+CvK32I8J4xyAyLiFJb5
41q2qLRQjlPtw8g5FjGEIKDxq8H22lepkU7EQnATtbFWJban7uf9+dOmuErBmwOLaXbs98+Hf+4M
RhvvPwydB5kNRExEz7eiPFtJ8Szpm8+b+zAnQCGjcdVVhuwioTzasYURSxtTozBWG7FUE2psR8sE
nu3nrXwYJEsBIU0sygwNUv0yZ3447lk+J+gZa1D8izOz8YjN49xN9VB7oWTfxKK2jNXV501+6Mej
Jo/7McWXwQQ05eDAUbqSmrzGhtS6WZX2Jx7uQxe+VUeiPCW6Qk6oH+0L4TyFIk6VkRNMVbfFQi5z
KNnOT4yLj61w3YQ4Ev0ZWypInfddiNl7HxsV5jFW0mheFfYzRpr6vP68145nF7ELs4p5xSiXTQzi
37dCwbwEihMBcuf74vVo9bAsg247KUZvw4Ucr/tiOpEx/NAkPUY+eammW4rpjlPxqWQoo9JQ3xo1
teSOYGU0xypa4VLC8PLCMtvFRnhqvc8fdHn9P66Y3FWSnqTI5m1Ok5N8/6DpOHS9mMDnbFeR3TmD
V6yVc9k9deN0lBjSWTTet3O05xAtdnqV0k7pfrvPXZBo9svu8vHzh3lLE3/2NMr7pxn1JsSQgVbk
NTpPG8SaJx1w33PB0jmahyLK3tf2DqqRPT183vbxncCHJ1wG7o9zu05StV5Ip8JGdQaH2kT72Tg3
dn92Xz3uyWXC/9DOmObYdOW0o1756wq3o3vqzHb+iXFxvHsft3K0veCSFKfC8jTzCmSbg5+zkzvl
ibn84Zx03MoyJ354FiWqJTVe3td55T0lzu2rtn68vzkFNJeW1/7ZsDhadqkvSycpopnKoxrIwRbK
vscD/WJ2jDts1bcnRsIylj9r7mjJtQCJs3zQ3OA84cVvP+f27rtzc3+imZ8sGD9O3eM7k6zJGwOH
9uWpMCZ1uMNzQDk6pqu7j+uvjXuHheOpF3ZiuTiuSyd1V1rh0mbvcrBjgkXew2w/3x1C+7JxHzkT
2KEdn9hYTr2/45pHBe80OV3e3+Q8zStxDajUa1bhIdr6drru7BMd+z5r/mGtko9WkUTF2gLXh+Uh
Qyfjf6qNETvp+VPj/3hvPhr+x0pqVYAQGSIos5dCQ7v3qVAt6m7XJ8apZzo1Vo4WDdOIGzNfJpqp
fen8TQTCopRh0OYJDnGndIBHacePHXi0eMSmIGv4wP7egekF+CzXWIHmde4iN3LJKk8sxKL9/dRT
HqXTPzZ8tJ4MQQbiqaJh5UbeNffFodopT/4lt8DQUMrH6TbfRRfKpXZ7YsSc6t6jBSZox0gvlhGj
MGYwxGJ89huiPMe3Daf0ci9wTcd09BOL9Idky/EAOlppJjlP0maZGOjCVtFGcm8zh8Sqb5d0b7GS
7ZP7+M8WAHRa1FYuJgaU171fsZvEzHJxGbKVBwKT+aG4FpGD6lj7zIGsfNVcAhpZ12v1zNqe6OWf
ras/tn3Uy9j8TSm6FWIVd/D0+3QVrobV5CarZitvTuXMfvZKkXmgJaHWAa3i0YEghh8ST3XZ2DVQ
HlHCFAXXUHV67fLajeerzx/teCFYLs6oY5IRRlJ7iZb0fa/qbST7YarOjqC0ygrbSmAiUh2Bvp3m
E0u4erQ50RQFN+gvKQ03DexK3zeVmrI+yj1AUx/zoH1h5TllWkp6Yg097r2lFRVhEaeBxcTkOK+i
ShM8pgYXyhazlAu8wI1d3aeNI05ydhGXWXZHhbl0+ad7kQwOxyqCdrRp+jJ+fogmCvyr6qYEoQ0H
vPSwy2dNVdvsCopQemosLkvYj3s8D8gZjsQN9ZEaVfFH8wBIYj1bhjA5Rt7nloMlWXOHJy/WlrVW
KMltKvUtPvyZUQ42goNGsLGszi7TePLvtTZvC3yd+r7fVpkuXyHyrUA/1lFp2qUIzvLzfvkQfCOF
Q7KEBgGVuaUgKXrfMSpss7w1DNjiUt+DghPSYGI1BCUQumOj+xSw6Fo/xivA8/1jjSDsOWiswHQl
RFvzKi4V/ZTx0HF8uXwlhfGB6ggHfvCS77+SgHdmJErl6EC+SuA/KLINIyz7ih5Dw0i27M3dVMps
u1E/nlg1P042hZdG1QD5YDL0bzfMPwwTDPaFYaJo16lb81uFpvauxRPyAiP0U8U7P2lpKXDWUUeS
VUBi/f4hg2YhEVvyjMtxrKNwpQTdLaYYE3fkQ6+fv+SP85oUJjkv3JwooRWPlZKBIY5ZgcOoY+BQ
6LX1CHezCk6cUT8ccnhtmF0oVMqg62MLWJ74h74LuJxQ4rnrHV8IfXsE9G7HWaDYDKhsF3Vz4Rmp
n3qyGKvniCzTVy2bpBMr2Mepx3dADr0UkaP+P860TXM/BEXF7DJBbOheUPjCjZqIlGpYLRaFW6gS
OOz96d5d1jHqrlFgS2Tq3z93poWZUqQ+/kdNgTHhpCarLDOUzZ9vhZqz5bIAKSgGJu9bCYaeu6kp
7nHfA7OOQSXwh2IS/3T/qaLCg0hk1hZ50tHUSyYlMVr0uk40lPl5qjaSGwmYAg6YurtZN/qrP/tU
i5SWQhduQBg56tGYkSexSWe5BdszR8EuLoR564PKO3FI+LigmLKGlQYPxZXbh1oQzFi40pvMxjGE
KHdFEVvCFHbORjQ1wTMzbcCwf2z6rS80fyjl/+15/Pfgtbj8fdlv/v4f/P65wINzUfMf/fbv59Fz
zbv/3v7H8rH//LH3H/r7Rf9at139+sv5Y9n8suryl8c2KvLjz7z7J2jpj2/iPraP737j5W3UTlfd
az1dvzZd2r41x3defvJf/ctfXt/+ldupfP3br48vGb0TNW0dPbe//vFX25e//YqwcslI/duPLfzx
14fHjE9eR8UvL6+/7B7z16gufvLR18em/duvwOB/W0o/KM1YLsWWXOGvvwyvv/+V+puJ1F9mdCpU
lr5VA+dF3YZ8TBZ/M7htIp4wSdIqJNl//YWp9vvfKb8hc9fRbGPsjssQufB/fM13L++fL/OXvMsu
iwiu7N9+XSbZjzs7kdG7BOMy0H5Y4v4vE4zLoP+xleOI76iVvzLiOwpV/qKI76iV/5mI7+ik/t+J
+N5SG0dv7F3Ed/TGPon4MDA2zTPf6I3vUlI2XyDwKGB4tWY4/ywALKwEH9cZPgGe50sYiPpayj3g
5yXOwf9yMPiT7fPHYPDDBf1/BoMDhq0+7r3zpH8JKStq7+ogCa4lqEYBDButuk6SoVDPpEyJo/XP
A8RqytNzSLOULf6/iBKP3u//ZJR4tOP/hVHi0UP+hVEitxzvF7e/JkrUlyX2hyX0L4kSpY9H0Pdh
4tF8/WeYCDZMoCRkFv29JlTdChQa0ZtPNU/mB7rXAUeArS3ku9+DyEEdlW9KaOqOWDfFBmJotg+L
QKjs1q81+De5eUqicrzlvEXVP0SXR5cwf1F0eRSH/UXR5dGz/LejS0LID1upqnIMx1aGInEii6P5
I44WTJuxJilclUHmKNYCsVH1qrmHiFtEXiw1MmyWAtdNR8Fd7TbsFtQ817Qsfwk+Kw9KGI7YKnd6
+KQ3cWi5Axz6r7OQYysJC2ccHLzuunvOi8J1O1r1A5qQmA9UTbdJrE59nbo+1XFTy61s5WPOz9XT
JFm1g7FSTaGBaiwAOEyqL0HYRBrlqE35VShg44Jo6ZtbEiJj6IhlIT5UPewDjFj66EYQU/M6LyBg
OgZA3G0GtAEuRuFP1zBrTczWq06/HRsR4mGUhrjoh2ksyHbWQSTK5gDuY8Nxv0TWMgyJA9UAc+pG
yvuvci5iTkI2Ld+LccluEyWGRg1JJTO0wxFphaNoZvmlbpvmPo8yQD9q3OWT2+jQydcDxornyjQ0
JJEVfqwaDGQeppANKqzPMdh3GpdHC6+q6R6saRJBeBpC/FXPC3JpZaWN91aKFbSb42N1nWKd8V0t
FT9wrawTYUhTlHQfpPUAtnaGn+pOOoD6XZCr4g120lLpzUKIRq5crMxsuRt6yc4HfGRAcmfmFdbX
PSh6M+he6kSZe3u0MslwQa5IhxxRGhyUsGy/VnjAgiIyha7e13ovNKvF/bw4C4KpXui8rRjDaSz1
onMWTVt0V/iVKNgh0ojY6dqcm7eEM/IaFuMk2rmiQSSLfQkPVLA60q4FJjrbU2mM2zaHUrmoz6Zz
S8WJDOyh4QdOVGmT6GlxIapeXyvTc4j9FTh2aIyDE2d9ErtNMkyYnY+hJEH0DvMrDo9GfZAmDjtk
fBMExi4191P7qCJpyS+5SjMBhUZqB8BHg3o2bK28GvV90la+fKbXZJkgIwiDQ4ltgLl6P89cG2Vh
kHqRJjQgNiKKMR1Dp2rV8ecorx30HvGdJs5NuHBkDcuNupYU7AR8JAbPo4VPJDkkxQX9o8oMOD8v
V35jlZ03+J3+kPg6c62vyvqx7v36qU20gew/dAfdHsLBuO8aa5bOunoKn5pRK92+idMbXMylm2Ku
MM8JUdS9kBstItvHNU70ZCk0D+YwW/Rp2s8Fh+Vgru0A4LsBOKkTz9DHyvyxFYgHESP6knLpQIRu
JIJTsA2/ZmwCAtDhVgEjS+zEqtLZzifNuizzWGm9eQ4VfZ0HjenNbU2m1DSjQ6PGxRdzLqcXOYvx
ZUzqaXrM0CuCrUsSnGH7vLZSezbN4j5NI+kBk1pAWzhJR5nXR1o6OoGcZbE74n+4G0VgXod8apRd
0Yv9tKQUsFoLKaqNXUyzkis1tqZkRVgWXzWFXGk5tJyqOlveWLGaokAUDpOWJhF06wHAh2ApLdcM
wzRhGqAkrcZgtLKLstBnE65JV+KAmIvwDsJUHEEza6L/KEyKcpeJStgt2A8dlkglhSKBa6taDufE
4gLLtQ4kkdJ2iJkKeiEg3ksdC3kRRAAdyBS4gipZq5xNnxeK5GBbWKDOSAOb7rLOs6GwDcs3LqpE
jmYnSI1M3Ji5akBrCHxrvAT9HN1TYBa2q9HQ5nCXAafccHoza5AXg9SB8wR9Hismy5vetsq8Gqeg
GJ10HI0bs46heeOSn+h2K6udYsc1Bf7QjCa18ay50/cqRcqjw/1afwtRoQGLZA6Et0ZWhekKVj0i
HCxNdXcQ6gxkDDgK28rKGBp7NPj3LNHN6DRjmZ53Leb0ssK1lmMWcnczqVPJjaA6pfdSV9FLndUC
OkLJlD2FPPez2NWFv1aAQT5XKOUqF+IquVT8yX2bAtb0mzqNWemFYQLCIU2wF7WnPCEtY3XKnJ5b
NRwqjIbaqV41Te4b0B6H4NAZXd55Uhkb14ISS8+RhDHASg/9zKLeuwZI1VEcGdpVJRUAh7Havwzk
AsP9wcqs26qvrcxB8KzFrkrgado4L7WxjTLFehUypU5xxe70Q4Fm8evkjwMbmdkmlvNDZuCPI/dn
R2zSaO8yQkfx4V+UETqK4P9/Rui/Shf9axkhxEqLm+t/nRFaF9H//l/Nj5mgPz7yj0yQ9htDkasT
yvvxunurov0jE6Qpvy1ZbDI6Iuo/LEIJ3v+RCZLk3xSq5amd0KgqXmy5/5kJkqzfuFAgpYn7AlaE
Cu4LfyITRLHZchv2w6GfymiKONlhltsT0k/HRZySGlIXnwS6ExrFAJJqTPxyO7RjzrKrD/4Bj8/R
WmOZCo5SL5LE8vyhmb+Dy4wHuzGk8EX0k7pca1rcBfvRwrDMFftYiHcJHLDWMcF/NE4u6HN2FaVR
q1wFo9nPG0Esemvnj0g7Rr1yNCyx1sSc4OPBLJee3ClM4zQMHJOSu5VmlY0ziuNL3JWsJWlX3k2N
uZCT4uZ1blXxmbgwQoif5Z45KuUmrKA8zJIGvl0e9XatmW27F/FhvcGEpHdHjWUQ1g1qVmuWdWHX
KsLw1BoqnO/BTGrR6xV0CythLHEpV8Bts4vq9AqsY1nwdJ1UrF3mlvFF71rTevZ1H0sPdSjhwuu1
EDUr4PBWaAsBPnmsY6Cfz+NsYSAPOuRDwubcIp1fUSf5MmNimTuBr0wL8AWWzBRp8ewCidL3Fdua
0yvwQQjQq/BKnaQM865U67KHXCigi2ZZV7hipAG0hJHmI/ZvsgiA7MyX9lRB5m8xlQK7XGjFeBvr
0C2TSS254q1LmYt8/BhqEuOTsA/8iV/mhFYga7NK0y85ZvAjWA/J+U2vKcO6nSL2V7EvrozBWEmp
ttXLSH+YiGqdpMUrrxcS8TzURiBD3Ig2UAnJuTTE990k1imBY2XaoR8KTjEYoZunowSSEwaXsOBJ
W6F81jP8LhJ42WdRGn8P53Cbqe3VZDBGbVMVAFwNdiu2hxJYnfyS6aR1MI4r76y4fjGyuE32QJfH
2VEyuPCOyYhfW3qht2cy4PfJVeICvEcJll2yhyJJr8NiaBT6KRluezHkacsmaHZVYj0L9GywsoBa
+Z5k5dZN2rXBE2Rk/PhbpYp9+K7dc5EoTjHlq7oHJT7rLyFUK8/M4ye5plI/0PEZCqNq1WnhvgYq
k6Jtc8xSzbew6G+bVCztFka3U+rf6ya+ToUy3g+S+b3gahwysGpXcooErl011QSNg5uSoRNv50La
N4Q3o2l6kMzXaQqASagKmPXEuaIP17OLLGhgIZDvvgnPsD2+EoigV5GUB/kaKCR+pbkxWvuqlcVz
c+qrzEUzfBi7fq/oyn2nJhcpFFZGvBEjpBnMfqWqabRrq5bARcit+FJP5y9WrDxmTZmUjp8l8bUQ
6A+jPubES4FS3RoQG7+nUsspLEWcy6BR9JU8KV8pjmTvFvyy38m6XrwEy2lgy8k1ClcZHLT8Lcg6
ULGCZTLR7FCfKXPUXU5mNrtlVgnbIBj13G0Grey2YyZF3igvgMTrrp39ct9Jc/hUkIPH4XwKVM3N
FlfMIFkrFVHHNiiMKbcphAYVnZlZhEtNAudrN4Com9szIVQT3G16c4oPkzok6jpC/G7tobYkvDhN
qsmclCkQbUDHMkRouGYgLn1JLp1yxrPNseos2dRigGQFIKe1g/OuH5SqMcHg5lOWJyjLBx8n0Dwf
b4nck/JxGH35a5EF4+1UmdwIdxMEBl5cpevOUMrCHl7rBPMxF4Zb8qf8qZpoMHBFa2JVCTBRN7AT
bFhbisjH0yjQhgzWkmn2uleAFwq2htWqcGViYO24hkxWVK01P4lLV1VLcRP0EAXwPoT/s6UehbUv
EZSiulDwnOVQrgy9fwELly8txrqfOfC+WIOGoJSp7+iUUl4rQti266a2zoHfOUZpZitRCCCkLndw
JQe/Vsj1dVTj8qhXXfe1D9MLScwe0IVclkNxlga1tngKXYRy267yWYvsAZszJ9PHZ52yiivcQYR1
0KuVW+sV5yhReuUw2K9nodBWWuETOetJ/E2sFN2eoiJYZbk/giKRL0t/uF1QkG6Ucqiy2jbaJm0x
XwJANtdCJLfexOW2WxbjIQrrbm3GGVzBQoA0qhrwKUiLXfQz8zSs2/oCkbsJlNoyDlqSmU7fpfk5
Q9dfp1EYe36ixqssncczKdJyl0PAlQQHwsE8sHcjvsQWa6sveRkrXqMr0Y4T/eDJVdmtZysczmYI
kmtTyeR1p02P8VDdV7kUOIOvHxqM2+yKZMNuCAbxJhFLV1b00E3l8i4vUhErn2LeKLqp7DU+6HR+
EK10DbdLXSQELgx2kZAhvpIa87vUmXtRoUSm4qs4El5N3+agC1wWOUTFMOpcvQyzO0J+SLw+j+7r
NRavcp2v07ATr8pSiFfmPE/eHOEaFArPAXtCavs6mMA8GQ4hqKmmy0HgNb5JAoJICAcs7dD047CP
MhEQVOkL9hDpMcfxONsgVYpB20dRc5OKWXzZcdx+xn4Rbju1ndBoGy71vHkio8L2qW3CTB4Pb/NB
KgN98MgzxV+p2khCGyVSvZIwK52d2eyVTV3E2RczMnTKckaMMJnKc7vqhhahgo8JylcOdu0e6Qoo
1SHIMXg0oazdSHqQ3ytjkn2p4SY6Pq6TX0GyRbFtjqO5Bq6nXLFzVKMNdrB6ZQylw07Jo3bbFWJ3
r+Tx8NK31cQlCBmS4lFlxWXISsFVKM3SJYUSeeeCfvM9KwH8Pc2F2DjTPL8KViFemrOe7jS5Etb1
OAnnOhGX6U5BWd4kpGgSTw0Rf+zyQBo0INpq6xmRr3BcZbHKEB/KfqkfEtjz9wpSCR3+5CX+I353
J1R1IXOQDOHBeX0Y6W4014PhTa3sJ7YcB4X8nFDupLpmHEY3JEkYvOREMDUa8y3qiKrBNzkTr8Ef
Sk+4HaUrNjvZ5Vwl1o42dMhNoGoZbqNM7U0WWtlj2+ul4pZzHVSbqktLLLuSqXOMypS+NklJsiHg
5LydLKvyDD+rD6RB5NjGJSW5GrFGfRJZ62rWnKmN+Z791K56NRav+igp9kRDYuZOxqhdtBCnQcKr
M3WIRtmIT4kBnG9raZMP1BSH0JrIQ7AWNmtPTA4odEF8J1kQvAymSMA0aFZbuIubZL9KKQzcQYjE
oSroWZYjk/g4mozZoQhRdg0hVaCVZkYWXaXy/Kw14ZcZRaHTq90u7dONH8702QyRYUu6ouLGni1b
JUPjgonZ6+J8qYSEUyLU4ckYnhoRHK9dEQgzr6bYJcDx2MAOnTaDaleVjKWdnCELbUKYuRL6mPUd
QAz7fEJ6BnyrqMBHN4V2WHHhRihT1EtAhzqpHjx1QN2xQ8Fpekndjvx7uuI0QX7ZVB0o9KkeCQJJ
tuEobtkqQYKN8kWxW8J64MpUozC1SScKOsTsmSwntVddPzvWGOVAUmUVLqupwTQjTC2ts7CKq/i+
TgKjuspnq61uwK9H00ovrNodFbOFT4vOEZnsIA9k2bKOFEq+xp4XukyrTneJhi6xVag2eInDBjig
GXt5Nat2VnTGQxdkRmHD9WnbS8FUlkOCopTJhqRYJtmcNKqHvh+6clVljfCS+COdMeXZbHCYCMVi
VYWYn7kVBusv5LXvtVg3tqy96kVlzfplqg+y+ayi2Ar3o1p2D6oaleumL9pHU6v0akVWVPFtvNX8
C4ha+le58bVDC2iV7HvhHzpfman3hXsl7MCNJKGnmgnp0BmxgE/IAAvlPJKyBnCyNWXpRVBGgQUe
IhPO/CSQXpQiKpw6El6H2NTsjpIpn6R2gx2X0tf508BTvpRKqn5LrMy/tirLdINp1M/Laaz3ee53
s1tZ/dKF1XMkWMPBInNJ1jErtpHEySTTRmNVmiwmcWY9kTzq1mPZabuYPPumQirqKmMJ3oGKyYnY
r52EnRhEwoVVp+qGzXzYkc80V7BkzqqiI/xN6J5SmUjqA//yhDEa+dYWpUUVR5vbXNXM52zI2muO
upo7lSoQ0ZG0GVuXvteqVMagvNIdIbPYgqLC3Mdxlp1hxU5pLAaO7Y2pdpkrVGUuOarCbGxYuG8n
ojc3qQaTNH+ddh78V4k0f9nUcEI1NLut4p/PltDavSBmmwk89X4mV3xrTEazschq2VVmoCarAXLy
xDFp4moGNTmamYOlbeAkZRtzUhNY01WlibzJkkLXR1HrqKQIrwuuNG4UHucWga0c2F1G9VkvqMYZ
ylCYs3k8bmapym7nWET1GA59teFdihutMe8ptoQWOcqF24RRci6bkGVTfzZsOaXYsJHmrcQ3POSW
YKzZdRRqbXQpuRKirNxWQS+5OeEH1XWQyY24Fc6MvDA2MRbbmxLKtJcDdV9XWCRCI80YlpkkZ7ep
VRT3VqCmW7G30N9rZV08dXEyXysAZ9dRrhFNEnS4jdgpF0IXdDs0LMLB7IX23A/y1Kv9ktGvNflF
0JTWc2TIpmvEs7JNtL762jUT4UmQD16jhIXbDUbNHVQYszK1WWOHhlSsjdLAe0Vm389QDangcXte
hNUnrxymzcZO265ZayoU1XbQlXVBh22yKprXfWQNa87YsReYLVLTMN3FVmPt005U3Mhvqh1gLCrC
paDam5MRrSzDTx1hSHMPw7JpG8uAEvRQrNGwUngsFum32kh8L8uDwFkcl9cBAYvXRpPmjZlfKe4c
y8ZGt+ruiaTH5Ji9r3AHEI+j19TqIvXydTfXSg49bViErimF2UYKu+uQAv+LKfXHFaBJLbHFzCqe
zDwSPbWZx7UwxdSP6HO9oVJR37RWnt2YLLX3KOHNbYqq9lnq5HzdVFbgRZYo8xCtsDJLWbyNteCu
zdTobCDvco5MKN7IvfA1Rk1917SY/HMUEHjv8W0t664whDOvojG8TjZbdMqso0bOssMue4NXsUwO
VdVzcqhiE1wOg69tGkUctsypwCmDJiJyH/T9KJsPvthqhKc5F3BtmK75lL+VooSdQlrAWHK6KtRW
2QBBSx/AqfMvqxpZIxH4KVQrqzw3rKraDoUeuFHWHfj4fQjXwsm0wroDGbjOFmySNGpfRlSIXmpO
+bWK+fx1I87QV8vS4Yv5Gx1fZ08ijUy5J/XOwfg4x+GDIArGlrCwdFS5L7dpFX7RpD7fNWCgt9ps
PQ91t08DictCrZQ9rQNlg+v+bM9dF7tBYzwRKL9qdUmYMyVXslqGa7aadR6L1VWVaamL1nPC+Luc
CZpM4YLDh3IJ63C4LGXEIeB+LM7/qumJkLVIWvV3nKevmWnxatB9EgnTUyK29Vo3QvArA7uxqCO0
jPv4zDTC2Z0H7SoQh1d5LPWzyRyUTSWmX5vJWs1hkzohatB1WgMdLtSFI1EFITXJ9aUux2hhJX+l
xRX9CrnsQidz5VgZyZxBNM+AbAxuq0iN18AnP+vlOvYSKyAGDsv0gnujhLKc7qoYi+miURCalkZT
rhiRm0xgExGk8atZ5d+SQQxdLEfih7yUFY8NzbgbmF2bRpi+hCWr9DjBu570oNtnnXnei9kK722Z
STbw4/+HvTNrktRI0/VfOTbXBxkOznYxN0BE7vtWWTdY1gbOjrPz688TqdGoKjSnZeqWemzG+kZW
pqrMiCDA/fN3NTLjpB22DKCtfqDowN77IIixmj33ti/HOKsgdLZ8ud1asTckMRKmoKA2lcWFKuwh
HNLqY2u0xjMK3BtFnEFIm2wSIYX8LPrlUElegVGlEyV/a4VPovE/5M4KnKFgTfODXt0yvCuEQAIh
xFpGmKPNa4qfiijb0ot+rpZQQ4NGXZ7ewjy9Kqd7LOGNTurWO/fNAbgtz70wwOjLWSm4LoLtrHXs
syYz8ji3uN4G70lky7wvl3rvMeqFsyAtwjTViysbCFzV39cTDv3ELPMoZYmJxq53kb+aaj9X6V1h
5cCOZkr7rG8toTOOJ+162P1U+1zVS7ob6uRyctY9Wm8dWW13ooztJmggnOgrek0Pjebt2n2goC9g
Ye3v3EVCQ4tkeV6g/k7TDvgyCyaIWWJ6X7FOfEmt9rroAnnqVAFHvRz3QqXux7Z+Uxtf+WpeSD2C
xI0GU2edq5Bs2DzS41K+poLjhabekITQveu1XezXApe+GvbgQk1U5jMW26B5BBW/YYRb8X3hMy/m
LN0PTnDWevVXozOg1qcWUmmVek/gRhG1xpJGdplddYIY1Ull57X2z83KkGd6yAmU0QwNMw3CO+rl
KcpTeXdjHAJRvdwRbOabwhokhiFyrCTYu2POv0n1U5JK9rHgcml0vxuRQcRJut53A6e2bkseKQc/
r5Ly2mRqODMMQ3NE3jYusPWBVfpjiSk6Euvw2NEywBEa38qUcjlQh3fRUC86GmBy4y5tzjqY/XVO
XjK/ecr7hYRn1Sw7d86epKrt6NDtya293nVBYJ+tSXPujo11wrSb3ww5AbzFdgZgd7Fa5WW6NA9Z
Y9Ppbl9MAMxR47O916DP5bajhOMs95uzoCv2aVBclh7j3JI6YZGnZqg2NqcKqKHMge1Ngphn6VJ1
VnphhutBICsgcPhMrlkZDoW3k4C4dePcmnR9nsxpAZzg+DczxcSgPCeCXpnYcrZ9Ovk6SnTyLWG5
i5LSP0tUR0BCW4mo44SSh07SldxAa35upOpia7xvMwf8aMvyCp3yEHW1rq76jCFIGrE1CO7Y5syi
8MIBy8naPK4LfdZOzgUuAB26VvVta/T5sJi3Miivha4+Fr3tXKVBku1BXFkmetAswVSV92SM+Kl3
Mnn2NdhVvxN19ZGQjNOx+rqWM+2wy2k3ba/5an6sII5tZ7nYFnvPz/lnup0e7NxnAu/Lp9oLLk1c
EsG6XcHuv2Z1ExET/qhle0rUahemvsEDipCGP6nr1nev8sHKrtMye/C8aQrTJL8c8+EBmQTYbpaK
+jH1tHVKkGmyM6z1OevUJ7cL3Diz6J2bzVI/jDM52ZDpfXOWv5/kVmfKrViSEO7vOdbW/ikyj/TL
6tEbH6naKu9ygp3dvSHkkO3z2lMLBzcN6jebrvXqB9mBaFjT5dPM/25C/1D/eI/WK7PjPqn9E29J
+PHO7aGVJ1+UpzqYQL18anR3Jqfh7HYou9SPUMaM2YVkqc5e1CDSUBnqFJo1CfMiK55ZMn3rcaKP
t4pd6qPpbibu/oHyibmI+75CIpBxkPAbBvNqLk9ULrd4yCRmXpW0FIGL/Kkayi2Ig5mY7Y61mAe/
9+V5hwMXaUY9jVUT+2Pryre0GFI67jY/e1gEh6oUIHmJ2ooyCb66Wn4mbt8Yw8DlqXwwg2xYrgw4
hLN5dvVZkSuFkGXwvTO0DZ79s1nqX/r4H/Xx1t9kQw/6+BP9VqOR/9L8n4ex/J4YRV1/+OlfiNHg
J/ItSCPiZERZK1nD/ymRd7yfMBMFB98Lynlcg6h7fyFGLe8ndAP8nIUCnuowCeH9i0Tetn8Cj6Hi
3qS9guAmTDN/gBh9F+n/wIu6VJbAzHpYgXAtiuOEdP6yYFwout1gE1HUpS1I+Lw1UHqbjVf7dio3
CIXIrWRPU5Cr0MShT/BhcUogncpkxxuEWvWDFaCWRohkg8NujZPqt7HXhr7dkt4seuwohI5ku62y
1+yNgccM5NlcIuh89ntzBp1yJmdWV6anpFOeiq0r0aCJUk+MDJ4xgW/UVW4kSGAsijMRInlOnXyc
65rDZDoug75gchZDiP6s98E8zBG3NzJo/lvXtXfl4Ce+lqRP6dirU+NioeVz3nMcTqYYLJ/fqIJB
X/r5qECz7Gy9LSt7/rZVhPxH9uCrl6JpPB9ZkAB7MZIm8CO8W+a5Nu0hiYveS29WStlytqfA/WyS
Q9PtqzwrgGRKFTwgwnGfk0brZ5UMzcNapQ0Dg1eaCLvQaJHY7eYPuSu6G8/rnCuuOp653JzE2Sh0
keztVtcf80I3T8kK2MmRQulP9oYxLmxqnX0bhkFzit+obqEv45A+QkuZ5jxO9VUJ3b2wFRBC/qbs
TMKieWbypbNrfbeZduseTiLGuBuWtKJiY1HtrZ9qq4i6ZYb2KBOZXBY+gAxlcs36nDsL2HMZsBlH
hpuPHmUjVpFdGIoiHz6+ZV/LJJie9eT51PAi2rTihI/2kA/N4O+dxbReWlFwIlqaLFp06eKvpFLk
0oQRhkdclvFidddBggJLUmg8yIgH1l0OUo008hs1yPTS7GFIa5mMu9Hs9AtCOgWsZHPKy9zyxeGc
dqXYZVxI7SmpEEtx2g6NYUzB99j5K6iAsryk2QEXWGUVWIIHt0rLSGU2EL+u/PumSVjQ9ZiZt7Va
t7ua82S66+ZlmE4Zhc0v9AkJVFdjs0A2bYTV9x73HrJVXyMMEpVztaalC7TdiAR5aDcjJ8v6V6Mr
mONIDRQfSJOrDtXLzTKH5bhA3pFL1Z6Nk11SidCs8sGdvfXGk9V62Qc5aK8hiupBDQFAzDJUygtl
4wHpmJVwMDZjIO9C5RbbV+pRaeJIC9P4OHrD9JIWbDGh14/FY00t7UMDHIaiq3CTK9kWDQq82bBI
RsjqSiK57EsRIvrq90J7HZI8VRdjyGxS3rtTPX2y+sFe4xyi5oZ6qu01MRkMSD5c6sfSdO27WU+W
iIu5tK6d3GNA2JJ6YddekaVGyrLSTz6Chs/EXsnb3DWXNWwM2Mh46AAswr6bmXis1k1OLUaJpwpk
8LEXU0Wd2TJWH7rcAE82tC5e8kQuZQT9tb4xeNC7NOMY/Tyxk9JdBCCKmDXpnHOsgMzUowCPQ+no
mq8VhV0fAg5o227wNnE9bg415h2pkpEyfOp6bB9aOoRhXlNC/ibr3ECYzD1CGBKO2t5Cf5uNqH71
4kKTZMLY5qgz1fyJObhjbO47NIyg67qOq7ZtbR6Rub3kOvofGRuDD5WwBxYuoxiW3ZC2y7ObztYj
5YxJj0ggb6+rsq6ryOhgWUJjzLtlp0npKqNyCHh+W/7JPU1owLst7VO3JF5zxAxK7RoxrMghm595
u+B9GN63pdTNcgJTEai4FO08RZkc1AEXnDZifDy/PXHbqbMwFW9oFDYlbBSw66G8ZbRzJusUSv96
yB0DCFyVwI+yzfMPmjyqxyApgttKWZzi5iTZDDCuGdyBc7hlhouSW0Mlq1u/QZW2r6aV2VzDBptN
CE+TfHIPnbqMp13Os46SNAizcTioXdyqiuDHSfECnCjVThIIV4alZ0h7JyrfuxGIEhAxyHE7I54i
ZWYn/ciP/S2zLvtpk09poQ+kgHbVBbPnuO19jQ0zFMDX32bbdy9VVw1WDN/lebHyLZsYHkstU+QM
HWvEtK3GBwL35usWF66IfbWJR3vxOFZ0BZKM0HJSZvOZSsMpSpGL3w1FsjFyqyJLdkki6MlYTct4
mpW9PXGQG0VkiXGhs8a3xjfS1+wugk9fdbRB6yRhp1BU0MHYtrfwaW2Yt0PLyrRshh3awrBPa7N/
rIpG80TZXTjVxsTKKCrFrC69YYunoJ2XnZjbDTUKEmuGysG29mZjyfQU1Di4M2rouygALrIu7GlW
z2KbRhDcYV37nXRnFANWfjhj83QHN0MNJxSng2H2OzsL6vwMS27T3G3F6rQRcCYEs+/0b06HpADz
EQvMrq079Mps5y7TLOB5gpZpHN8mezbm3Txqke/Z7DnCOQvbWWSr2YA3LdBqxq0aDRpgwOs/boAV
5Q17kch3IwztFFXNIDHr+iur0Bx0ljovIYSqq3lS/i2gLnZXG4V5yj9ccuvG3GqU1+NmTlyczq6+
iIJdaL9mW7LE6yIyixOnkw0x4mH66CVn8yz2xl7Oj3kJ2xlWZWuI0APAvVedB6La5Wi0o22YqKBa
C119LeulnSKV1sE98qqBCsBtra5IMxw+JAPJVdHa9O5V59AXGtkbZciRTyScQNGdiPtpbEAEDKQF
1yIRbRcu6YrRWcw0dsSl6ZRfmqRdn7TDZtc6fm6izV0TBcY9em/cA+03n+R0sjoKIe+3EQ0vb9CB
fR2YJz72w4AOdeqmGqXWpP0b0dqdOEmkv31Mjdm8YvKczAuS0ewvsyNs6iGpaO7CrszTs0Ta2Qak
Y9Y3K7eeiIhiGNGzoqLiy8wqHjpvgZHM1koiwZAmX+CEwO+RYQ94CB8Di2dx8OwawuyfOqugJHnm
JnigbHQhLAy3wbUY7RKBhs6mu8GGuIyEX46XfavAw5tElNeemkEhSrNvpnDtSGCMC9fIXnzVaaRC
/eildzOE8xcG6vnBqvupjQqYTubTuvDvYJpTLg4FaDddWVGcNHH9D5qz6WZe20xH+DdQzRlG099C
fyefi7bdNuRni0HA4+Kz9/VDWr4GGft3mLbZ6u0Sq0zZYHOvL3dM+/IzpLJfh4TYZ4+ZrIcqSs2g
e3Vo/yp5dmt2CdFpESZJ4fvh4s6sDXQMO3zLjZgeu6WqKsBjhZEjhfkdY8tY+2/B6m5EFRV2q6J5
WrnYTiqQq7S0hN9L1eNJQGbofnJ87d21dV/fqrX2bxOzzxOuXArXzk2udyZK6o1citYG72OVX/dW
bjv4XJahfPPKztx2W1tXxt6g4CSI6w02qkKA1oLTcZx+CWD2qv1i2RT9cYz1uxPRdMbVbAG67FIk
WWXoDymrs1+mYwcbuLTipqf85kuxeU0RyV7wr6uyGk9B6PszkstnarnBST9sRdHkUeDNCQCn4VEG
2Xu5PFk3J7OiqvLTHonLkutIdsV8u65SzvscrfwIgWUZgOQOQ35atibBPG5uGBAorXgt641aHTwl
Rv45SAlsDkcDX0qY0Hbsn7SdNLMXD5Q+iF1VpLPPtzDU+cNsS7TgU5oK2i83t0ifRo9XjDVCRMHI
nQqJFGRDQ1kGzs81ov86S39/lnaQu/wtZfHtV12/VZ/QD/5wiP75x/7jEG0FPyENJkqHPBjkGPSS
/+chWoqfbKS+h/wbesV+OERjThdkAR+MvjYgEX/89QyNttin1OUQscFKRtLMH7KZv0dl/CotdnhZ
pMW/9sMcR+T85b0MP/qCf/t+jg3c5h+vojg48f7WRz6yZP75jQi/V/HiHaUf/QMVL79XVHKcKMsa
/z+4qOQ4EBUl9t/VWPN7VQWMtdxDn9/uFXarf/838X8L8NL/nVUFv3sDHfla/5yuiN/tDPGPzDn/
6gz5qztDDp78v7FqHkw33z8RffePljj9XkOPf9gqvnsGq/+hDT1HuWi/2fKO4+L/cFsVoPjvfHdH
O96/SuD+u0vgjlIjiMczv+9jPc6l+6f0sXpHKz109fDn97HKo1f5x/pYf7zx6ac+JA7+2sd6PC/8
nSWph6Xv16Xxt69yNCz82a2v3/exHr3U+Pf1sTrvhZo/fiRKOQQnl0OHBSzg0WoPT0abhuS0anUw
C7GVecWMxWgzXog0qJ8N1ZB9n6UyNfag/tPVYE3WEHfAaQi2h3J9pnOkWKK5INyRvPrReSONfxG7
IVHI2ol7dytsMu40oGfKXIgP3+iWk2Vb5jyGxIYa55ScV3fZIkH2vXpN0JX6rqzRTptNF5cBvbr0
jZNkEfW+j6Z6FHhdONMXDpqEeax3FZrM01Xgcd9p9yD4GZNOipOgtPrnmbbl7NyyEKiDQNIFvIzb
/KXxa9IyZrxva1hv1UFavWABC2djAA2hPcVb8bWhrDSNcXm2e7tqrhCioFfaMkTppDLMtBnbTrbO
+95XcIADDOUBUE4RdLmus2axRN6qY0M75oD2ZANsU5gAn5AheklYYfSEJ3KlhYfCTRTqIkOXemcZ
XfABK0732mgIkZgqp2ajLNcuSPf1iha/TxbIq6UwZisi2LET4ZDZRFQUhZ9lsV0WwZfNHE2oirbB
w1+TUlCF6wLudQoOX5lAPVtVXHVg68SFGCvSHaiT/I7mbmFA5pjuN9dtxbcq76B/GI7X4IquUV/u
1tFSRoz8L7gecD/ap2WjAqQsju02uzFv9U2J+gxtfFHJt9pK24fes8pX8Izyk64df4097U9jDDiW
5+HkmvnVKiQ6N5khhnyaqgZFkltLemUHfynIpFic7ls9TFPNJw1m+o8tWavdAQV70MW0uFiYDu+g
LprsMp8X/IjZuNlTrOFePxZ+UCAsa6o53ppCEtGXCi6L4v41dj0ZFiAnwVy+juNkrREhLP3V5JvQ
bGlXFWVotzKIE6Mk3RwkL90FpR2Up1U7FS8BAnYVV3xdW6QbfzAjwrtBMRWl5/BadhE8VH3T6v3q
b7re6U4pHEPc8F+R+ftXVZ5aoO61D+2DpRORfonzpTjts2J5JWYSLQ4oQ3VJRdVqxA5a/28Y4FIZ
cisM9bV00sA6K/p5LCNAyOmO+qDgcynmgayWTc1D6KuhujfQExePy8Q9sqPR23haYMMhZJoJv9bm
G3ddCuO8M2zsEYVTV/Ue5pns2MAZiErseIrW0DWxDTTqIGm3+9XiWTRhIyM40OTKtirUj2WVrjnm
K6sswtUwQA8zKTE1aO1ztcSQI34jqnQM7WWs70w8PxPe/3rKTnXv9fpytAen2uUE/5txsgg722so
uzkkRSYwsbp6pCFsVtA+JH4VvOSmsj4DRfsbomine0CTMtbXmkwN/IHdXONotRbrdEiS2t1hGh31
XkmjREdY1GZITErRnfqLsj52TeIXUDmk4OCo3upL7QUez/00mvf1RqRgGPRjDtXiVs7TAFUW4LYp
Id/nxaufevqabMTuclWnkHwr/hm/1sheRoUbeGZN2ULDLkpsMwC/cbtkYxf3i4Sxx5JlATwvnQqi
stbUHJszUu1EYKQ0a12jowFjR31YN6gZDAJ7PgVduyxQSBrVfZOp5HFsSokjuOKb2NoNUB1sHitG
78+Yz1K70GS8UbmyRjxRwJRuW6fnGV/8N6tNhovEWNGfSXNbHtvWdL8s/UhAsEiC4QxuPyDRpFPp
YzDZ6mPWmN2z9mYHc0C6Gl86N53ejELSAZT5pv0guwMeTwqJ+gw+TRIEsibjyeSRfMsKSJydowvr
qiw00HAvkgqD5oSCPHRc1Tx5i59BR/iyJ/LFTbGyqnx8TVinrHBM5+o50/b8OFQj2tFlG9r7zKth
bMu8Q70hS8TheH6z62kajQ1Hppk74VJpX+/dElHb0qHV3WcJRrEdFyBo9y2C7gy6IUiecFcnZInn
hf8VuV31gGdawNphGyGYwkzwpaqunU+1sabjKc8Pm5YaZXKtgtb6CiDdjxhcEvS/70rPeeQpPyvS
wnkyqMJzEFWaLrEbuIrPCTWXVTiRVPpSp1wjrns3Xqd543ZnCRK/Rx/Rx+FqNnKNZOWiZEyDNne5
UNIneaY1JBqLsr1YC7v70GdohtkzFvj+pu3VEjkoLexQlv2EkNXvkotDVGl3btArhlIXgz7alBzB
pmPDL8XYjDcilom1kqjHp6WI0MWglTd8J/X2LpHBz56wDo4ARAzJdTFW9UXLmomKsRt1ElujGvGO
OfJDL+Z8gj9wcAg6llu8zbC53CWZyF56k7cWKbPKTrapwTU6bV3/xVBb2YWuXpI5nvJ6ZKHB0DGj
5qsGfEsSnjWEfuHzkZbC89MNBl98h4DhMwuPY53RxrTuqrFF8mPWmQlnnAfGp59tsubSmgJXWA/7
4AjM9YXL7UbnUSlx/lSsNBi/3lV5ssaAP8sS8xaONuz5lHOP90YWsEfPhlFl5D8T1HMiBL4N/OKt
U+4yONp03xR9WZ+nIPcUruD9q2OkL9kjCS/kW7dNH3wzAsQKl/yq7DH3MTlF3mA041UeqOxGS/zr
YRVoB8J/tZrhhOaArIy3ytHLDlMe0gb25RRiuphK0rEtrAYwe3rDhjdVtcsD37vWae9YfX+fosS9
EcOKfzIv0/JyCQRpRRYU5MO65EOyt5pWPCXcSGI/z3m7YBl9CZqc3DmjtvmQ2qqLz16L8i5emi17
WlNVPTXTVtyQRWDfwQW3xBF10wnckuHHZZOxPxSb/ZWMAr7yweysO98g6xePkQ3dnlqJeoDfKsZo
CpSLN7PmVmkT5ZfxKrLkY97Cdu+JYsjPvXWdsD809VDuKjnOxJi1rggi6GK0oKQDJUjHoZULhBkm
oWOIWpiU1qyCj/ULT3/AKMKeueWYgCKPh4/MApq0MOaVWG22njsvZPqwX5O17a7d0UlulrXhrusP
0QyzaSGJ79f5K2aW+XEl0hnzsDEh1V2LOsHYw11/mfuauJzRLL6MhWmnseEmza3pahw1LspjnhAT
NxZ7+qj+YKmVDLhq1MkRA2LSZEfkyREU0o1oUzPvQ6AKAtJshiFc1L9XC/abY8zhRch7ZuCHFXDN
Y7yFDnrErOw+bIHBzu5s59zGpA+tqBWb9TtV8i8G6QcGKeB0+/+PpgnfMkW31M/Jx+/xxs7hB/6D
OrK9n0gfhuJh/KO+QB4g0F8iit2fHCoGHOYPwseRWnIM/EV/6f/k2IQQmhQe2rYnTYvf+Iv+UvhQ
TtzLpk0QtsOp7w8F0xzdL9jf6MsikAbPN9JM57iFZyzLJcCtPId2OWYRPmD/aRnmOcJTkz18d11u
fz54/q2opveXIoGHegqLesPj46jNglzUNgOyW+k+JJ1fxmNpiN/JlT9CC94/0Pe1vEe0zF9Vy3uU
TfnfXct7BCkwpVp/VS3vMa51iDDMvb+ylvc9Zv47oOPwnf/Qy8vT8j3I/F/38pI0MPY7nPV9H8/H
7bw6HY1mV09SWLs/fJf/UJx79E104u8qzv0vHtsfXuXoE//5TcAIiQ8wErDVUc6vxjL0F3T0Hm2O
f1FH7xEx/c/s6D36gPU/r6P3aKn6izp6jy7tn9LRexSpxnP/Y0fv0TX9taM3IDWc8EwxDv3Vb5t6
ha+QiE99kXN+KNx/uK/36G0QWfTX9vUeFofvOLV/Tl/v0Yv+I329P8pHGHv4Wh1b4A/FF8J0crTi
/NrXu2x2McY+8rb7P7u09/gh+ftKe48oocMkSNPMr12wR8v2n9EFG9jHe8XhRemxogyMYRFP39Hl
FNNardLGNGPNWA7OqfDVokfMRqn312q0mvmamCaSShq08SDKHY605GwghiB4zJO1wkuY97m4D2iq
MePUn4LmNPfnbHgos2Gr8CRXk4FRgrSfV98pTETfAY5G43RJvW6+aKwlAdooR2/+WA9yQpU9EHq2
3RI15+ZDRADb1n01+oAAW7x5xB1cUVWLbUJrQIfzIh3sEZfiRE3LjcRAX+97XXNWPeR7dNbFdMDi
ryyP0+ZVRiphuxsrSZqEg4i8B5bfivaU7Az3m1P6WY1TCGPsDiehYUUuuA2BZIQCIgnX1jzcprnR
ra9tRuzGeREokn4Cp0zWSwkamT7YlBmoMCjXoCYqukMWnfmZWnfEIWRt1KPqe3OChERkU9p4guih
2l4rhZeESOlMElbnjV29IyB4MXc4Vzw3RmyY1FgqAPueRwtdcuiNU8b1U1AGJD4roPit0Nuzo8tt
PrHIg5ThKAP1KTBcYnjXYe1umtHlAum58y6HTaHv1tg0CUExDIKnAgKIyfpwPHPnE6sjoyrAkH1v
4T8dPjEE9ZkZ5+OSzffiEDnZ7bq1HAmLrYFA19ca4CrL9hxYk/ZbZ47ZGb3Cy3g9z5ODgL5eu9dJ
A9CETeNXH+dOJl8KAA+Jg6aqRHy4SxSmjXn8POMIzDETbFjhU46j8mLzCAkC5JDO9eL4uEYcgvLv
4IVQ/zZpK9urLEkqrnewGnuylFPoB3+u8V+3gsC/BQEqamviLr+1eBLJOx6Fh1EYQ/2buejgQYpV
lJE2ZULws0MuftRj6iCciyNPEzZzud35FulXJ16d4YIOkjz5rJZeNrBliTdimtCAGx0xwefgh8PT
Icl5jketChEDdhrPM8eZh3KQiu+rkvZLy01IOMmqDu7N1kufuwSf1UF/XjynSo0ZbQHEhUSDlar5
sliRIZvV6hzCAyfvxFmH2QxRnJdPdHhPZTR4RnadODqQoUdbUY2tyeNb7OtDDDzm1azZDb2xlSfk
JK4PiH7JLrPadHj0PdgFcOtmSTCD6u2lU17zlbb6qYpZeWF0FunjJKkCx36e22IwQ7s2qzNU6Q4B
zaLiMuZk6V21nSYaFKAMF2opyCcMR1N559vUkkAjTTTkIT18LNCUxcHV4BBP9UkgFu7G7Z2Vat4Z
KhJuYKtsqbCuywOJ5Ru2yuLxndsiiL3FjO8WcF5Fssqr/J0JM95ZMcB0GDJZOZis4bO6V/tAofnv
bJpRaZg1IiWF3iUSpzt5f4Q9hPmBiOvfOTlCicH+CFSFq+OwDW8XvHN44zufh6EObi+v/Xneq3fO
z3zn/zD8wwXKd15QHCjCzMjqGzKh4A2Xdw6x9Wz4xOadW1zeecb2nXNcD/Rj2okxApnCwDLztrLz
FoDsueLmESdGvx7cUWLaZpJCCGIDvILj9A50J8QUzOfwzoL6soOoIS4AdpRgzbqLUwXmjLb8wKCK
NYVNZY3Kqru1UbCsBPJMeTwnVrucdO9MbPbOyq7vDG3mkakeuraexW45kLiNs6jszMTzR9ZpK5fn
bmpgfMd39jej1u+qDGYj2QNmww+33lY9D0VlvFgDaXMh2aVlCm5/wMeWd6xszStws37KNjfEytPe
WmDcaewcQLZakU5tDABva2KAwXXveByLSoPVHpn1I4Go89cZK/LV/I7irQdAr6JjS7IfAfWZ76jf
9I4AQmW51/47Lmi+Y4SUFoMX9tOgP3A1QBE95XInlO/oYvOONNbvqKNRpEjZsVObQUTuKshkhq+y
3PnviGVt0YMdrmteQkwZiZOeBok/Rj1PYH9SO32aXgf5UF3LDq9h5HpBY4ct7O995lLhgYi+xhCe
jGmriTMx1uzUTMyhveysTX9wnc4u92OlVvr6ygOU3i9d+mWEaaT4NK2tPPL7nEzZHmZUnZDJL6gg
8Bc2uF6YWENTVtFHHEdqJpt3zbJQldPw5SCmx6qwTM5NYQhMjw2LRBmPJiFqsW+1QKc93QVs6uaQ
vZCSMQaRlY4e5LrtYOtxZ/ooSZK18wdh5cVXQViWFRH5xYY+DjOt8aZWK4r/9sB72WjSY7mydJ5q
d0Pzj8jkCZq9kZGk7q3ANVMNyY7Hjj4L2hiHeBlTWK5VkKYTzq7PX5K7kn3M8tX5unjCIMBpGHII
f6kzEVdb4awXU9MXzm5oNdbCIbFkeT4Gq72G7JL1B0u7uH/BxC3/lLx+LaKm7oftce2N4JG1qLJB
UxXJMomxEboxmPZnIAODlmJ7OYTtYcAjJ8IN7GtmB+VF2iK0jsQdYmgmy3N2iTP33SlAGKuwUQ9r
c6pNo8flTsIyP447/15vhwCV3uk0iHyhtkdNJvXXSeeENMvDE7SlfSZOtLUO2D1Vfsjgacf+TrL1
EfKAhmyN0sYF6x9K1/raJmsg9xZGM0E/QlrhkZVZ+sV3Hcclf25MbtBCJOV+skmGjXqMAhiCxOIS
TNTi4R9BkPGD8I6hV0hoeEp1YmKIsQbzdFpabHRsff71rNZUnKV8J/ne6S3zhECc+kRmE1FHluUs
n23V4ZcsCDzhWafzwYhpkvbcUDiS5VwamW7DyUIIwNvzFvaDJCM7oCgxM/fSO0SrOitVyDVFoOyc
86wjf5Rpd65kZRNPZjKshaTueZIU50NRBPYr68nVxMihLxDVJwvDFbHVXcrlwghaPRN6RyxtO9UK
r6tpGgnLQUeQYFYkVXtTLZwa9in+kjm2zb7o3vhd1bILNOEbsWMu04ECJTllr7UI+JV1WX9aDIu8
II9UCxLWmnEWPCgGDSVhNfVieNn0yiVK6ro/gWgd3zosr4+Ut9G8pWGUSEfQY5BeQTzW8wnOWC+9
oHgkQTfh1Kl7bi6W+jK0lsSMKTcT1443h5uNvZqU5kSaEakpvUVoNJQzjnVBbNdSkfmgC48A3aZ2
vwVNIotT0c+1IqUyr2qmyT5NCJArtg9Na9uXi+u0t037/7g7k+XGkTRbv0q/gJdhdABbEhxEap5D
G5gUocA8D+7A098PzMq+Wbmotrq725u0tIhMUSQB+D+c8x0cRdQ/usuPbEULN0wmAJbhuiWHJsHW
MVx3QM0OZ7LDjrcPrPOQDOk5N/LunOqSx7dX+B4QuaY2qRmjwb+TRqO2VtBbR1UlQQ40sLJeUnzr
OAA7L33PnEY91JIHGHbCyfi59L2J7EdM/udisrsJ+RLsVzhSdRf2g55UKA2LHaWZJNYDsTjV6kpW
3llOcfLcV1TMGKqW7gzTJsk2oln63TKp3N+kqQshyKlEZ20jTrGrKcvjp3SS3nc0iOExmQrvYVki
8wmtSbllSI3/S2KY5PshkvY9Ijz0VE3m8E12SWlhy8kcChdSZ2/F2LBYtzo3qbDEVskz7MUJMFZW
fWCugXoeyQRSYsLOUfIYieUN7yH9GGftvHlaTMTsGGqxDtKCxHSYAx/7fKtSuH5N095Hdc09KLki
ufZXvGi/NL7YcWaPZ9w97ofK0+C7XLmklmx9945YNBglfSTqIuwS3EkspXN10qUeHtgDy2obJU3y
4Ua6bzZ5aaWPCwUGmTRlypHvivmZFXLMX10wqmmDEIZ3O4BYTSk54ltlGROrTPIhMAa3hrtsh6nh
b3G2IH8xyPjQoSjBGwdOp28JsMUxV+I9nXdOFdCPUI15Dz071nSj68hosJeOE2kQRNL4ENW8Yd7B
/JYegqMp4+jBjsgDLyAXhv9etF9poQgpHvgvP7N5sc990KXf2TTNAc7iBLN4r5bACN0q8b1tCx2c
5XxgdU9483XBg8fuf5X1XLyNAj0GccK+x48YWudA+wPfF9ub9Ti4PnyFclRAAqq8Ut5WZAFJRGNs
GI9pOhGAbXvw4eJ+WvmqcZ0Uu3yYsnoH0hLMmY+1ftikfe/0Rwxr+slLzfwR76H+bnsWiTb5Kt7O
G9rptcQZGl2M6Y9j3vFZjUUQ07jmlpesZm3/5GUBV5YhmgQUft7MCdADnrJidOZyO06gFjH7V/5P
IaykvS4Nr3gb2tKzOFn78sssFlCgZdd5n6ApjOTg2DHfaN3V9o/FMPvskFDmeKHKCxPs6OiW3k4Y
bmtx7GpQy0jF7Jssd7PXPrZ5CKasR72jSBAM7bm6q9sJVGx75bNyckIY3PNB+xEGuiYT3VPB3Xyi
UgtsoDmSX7ejBohD5c7F0wxll8z5fpweY8h56V7nee9umzSVN/Styc9Odv3bhD2FA4G0HiMsnbbB
1xhZE8esKLjIzXTqwiAWxccc5LDJ0tTLYFikZfarmCrJbt/1VlYX5s0sTLoiSFkdF7E+dZmd5bsU
rP9PLL1Oy9lvevGxlDZvv42j6SEnMRDOmrlWokaXTR8gtpt0l1Zy/uInL592VnTBBvAbodQr/wfd
WSP64uDVWV5vg0H48V0qzJXdaIFb30zlCBw/KWX63Pj0oCEO4O5n3TopPTrhKTUGShpgaoUytfcu
3FZS4/N48raLMXgn/J5qupa6jehGS+AFPMXJgjhmSB1wcTpB9ikG7f0SeYlAbyqM/EG2hqTr05X9
w+8t4R9bp/UmgpKSKd+4MO1OrHFlQD5Tibe48mv+CSazzE9xIlwvbJrRlzsNz+sF6KA+z7AvubYT
iCrdfmjHDIRAvcyr2VWnM7c9sq1JM3DImvio+8z/AcrYf8sBRrzbXV08mmO75MiLoBKCJEuHFAFc
mahtkgbtL2UpqsG0KwZYeUslwRbNlP4b24hAPcywj0hmR9+3dXVHs1cHhmzCWnfzmcmF6nc50pTH
ObPEI+nKDjS4vkdqmZDw9C5nUqxxG/s8QoSyiFEjAhuSt1fcj2PqdruYgKN4q/14cneFY9bf1ZI6
v6OoZVI0TAC94abN012O7R3oEV3ZErrLIm6HxmGgUqKFO1j0WCClLGCpfBtIsoB5oXkIcUWIKswo
WLJtrYUTH2SwGLCIe3Sum0hZALyglMVv2ANjI1xYpIKlZ3Y177sS/hEipzIztzSSawXpRMLdxkIX
zZ5zTurNpDoLvpfsg1+kLLX0hYNn/Zi73sp2TTplX27jJhltycryrJwkheApSVSy8/xFRXwnnaY1
2syA/M0ttN2ts1LC2kkVYRQpxcjGiIPuSsZdCzCZWc7IwCuZzggk4SfQSHU/vVpEnzZZFw/c0Fax
NoPyA9gxCiNv6oIfNlCamdkTjOZNK+boN7zp6A1lEZXukCIYwqmMP7UoExzyc+mbYcBYi+J/UJxu
kUzN0AHgeTN33GbrfIcxou8a1WsZFOqHFigmN04/GDGfZkWiWlINoP2SuvwsqE/uidxjypG4KJlB
vQBvAX1B7t5kajvaT001wEqk85p55GYxshPO4mtnmMa42lqJZdnQH0vpfl/2eP+RtuGu+a6ehu77
eyBk+e/Jyv+Szfz/cRpzgCLlLyvONe/5n2qGP9KYnz4r/mTLH3dp9a9Khz/+1z9RU+gSgEX9aZEl
1v2/pQ5k8Pikk4HnRQVBGI/LxP9PqYNFdI/L/pY0dNcyLnKG/5Y6rMZbmi9JRg/tBjnj1n+Emvqb
wl9C7XclawXfZxR+8QX/dW1CUpjq+xGtZeUAbcyYVj5LBUx1sevp518+of9Z6sBTnZcKIG4h9wFm
8/ed6TB6jLoTBm4mb3g7mZO7Bb726//lRdBukHyN0if420bGAMbvexB/GW9GapdUhhFWhGCc//2r
uBczx1+267wZlr80y3x4xBcZF/fxX9ZNIsgNgg+MGfok2CrG9roPtSjm23qJG+/GIcSj3DYX3pXd
wB8KlwsHi7NuZWINRBNv+g7QzS8G3JwU217QTtlbghy0oLO2vaLcUouXyb2lbBXw1HeZysaOn+6Z
mmgezd3KZYA+6+qj42jhhU4PA3Fj01PMIUI+89uKmRVVqZp+FbEdk+nTkG6ybWWU2dtJlwtJC3E5
4IHQC/hyV9DLb4h5E787Wdc39WhK5I4JxQmDgWz8dqSbIglmaEpAY+GqJ03Vy3ReudYLp3AEQCJf
aeoRMLatXqIu3S5eaSqGEmPG/Ir1AIM+I+PMGC01IjJVfhoC8jawEIyVlaLVlBKV78zjeGsazvC7
JViA6QVAs3q7gM54da3MVRtLS+vnYDjOyRYNHGA9WdknP5+n+GSOgAxSo0cW3Agv7VCU8zw81/FU
3RpeJjPQ/J77SYyIR4SmZRIRMUMmmrYQm1AlEjIyKf6cBM4K6qS3lTKvrkGcIEpuSRV3IFgszNdS
vxv9Yyqkzq8ZYHLgAbrvedAjUyJyozWotRk4uh9JqRm4WFp3D9VgpcaxdW0+Z4NETBu62jLfGG3Z
vUbkbEJQAL3/rEm3+6qIxPW5EDRQCHCe4CvyvGjM7dhTR5xNWbHOGUDBOefc1A4fgedk35EZRy9R
XqtnGy3sgEJ4SoeFN9zMDpM7nxG4BZT0kRFy/WEZWXbvlkuvOc5k8Zrkfvth+X1lbC3oX3cVjNso
jBtTvuZGWd0gsh7OVZn6eF3sapx3UeyNd5E7B/OxSQb/3U4D+dV10IU2KPcZuYH7qq9d+NA3Zi35
JsYm75+DuMqfpj7wruqqHBRYULd7D2JSWcPEm2nFzFrMR5HPRM1aOuk+3N5Hq05wDSUpWHW6v5hL
93NS1Bpcrk2XHIoooveYPXqEjSuW9LOO7Y4sC2KRUFuXRb1i+TOcEoYBAGbrdhh7KFuXGJKpQJs7
d0NS0mN1FDW+HvVDnJDysDWtoobhsljQfRdCG/8oMz97SMkPU+3JX0h6oyMAKpBD4NLEu07SD+b7
BTcZO5Y3NiYU2WMuF41CVLYNLF4LWtg8qv6haPuFkfpChhg0rGUNgQHoNm7qzBxo4UVsnqXWxp12
aZi4IJeh3QK4qpl1l0X3o/dFH7FBzOafUrChod1flwZ0Xvgz6lzEV8BOI4J8HPDatL2iiXYK2BWJ
vGTF1Bt4/yjYV3QSO7/BR9I8QDpjCmGyCFIiqCgKp1lcEWJmMuUCafowNPX6rTNUzViylTOZqXgQ
0pPVBhVrP8asL4nwZ7kvxz42NwiO4a4bk14W6EBjNWy5jCiYhtpuVUgOB3AUr8+G8ZBLlT+1EM5D
LCZE2sSRCZy9t9ra3o7+PJC9BruaUFUGr3i1xCKXtc0n/dPJdfIG2c3UoZ+ndnqIfZgnBIya0jrU
WQXNxHNAWPEYm+sfRrLe/jni1y7kVvRfGCgOxi4FXyaYdKf9sKOYWuElVies1dPAOLkTdCduhCT4
mryUmESRaHpvxtq788relrtuiephxwYxgZbCsiHESxI4W7tHD7bVsUqz7VLU1rtd+gSImtFiiBBl
BEx3WP+EeTEnmKjwUMI8mP7gPyZMQH4wZXVlyAwlBsAux0QCG7NeQad5BxxtFOZq6exPNxWMfx0m
olcdAMhpZ7qa+8CKCOky/do6+WLKp03U5MmvPk/jH9ak+bpHMDcpI8uWCD3LLgXw5HwdWfSATfNN
nwXWW1FYyR2lMcPoNjEtSLMrgwu1PayyIDVYqQQrwsy/0MxY5FYR+L7OE2B/V+LZUNjJvYP/Sodm
MzWP6ycCI1e60bU3WQD25gIZeHShqJFJRlPI3rq55V+DPnRjkGs6t/SrSkn/I1phZbIt3hS8q9H0
P5YV2VZc6G1r7VKF4kJ1S7MZwls6afU11OXKfbsw4PK44NksaCxoYr2i+BldiHExjorTaJHiHBJb
R0MoYW5Rn3fgyLbDip1z+8a89S8sumLF0vkXQF3f4dZh0AS3zlsRdvj35nkzXsh20wq56ycxtrty
Rd+lvFSBWNvJ39oZXwLGiJgsnwsxD8Rm9GxfMHpNKo64eWDrJUvRFJvqwtzLL/w9iP7GA2O66gtP
RwFPN8KuMF+ofc6F4JeLybpVyWjD9VsRf0tSVM8EWcP9m1cEYDW1UNl6TEZhao3OniV8eoVhI8cE
sMIDjQtIcDJFty8veEHGuaAGlwt2MLZHlPhypRGifIXYVK6MQkB5+bPI2C5glxumN6XT+NPxmSZz
ihvLNzBKFnrgON12XbTQs6gLEhF0JI/nzFHlU3eBJsqVn0grv9y1K1ORswq8IkmuzVVTVgCjpW0o
tUkvMEbVVNa7l7p49PKV1qhXbqNzQTimhe+eele5N0u99NGmu+AeJ49ZHqyqccVA+h32gJUN2Vww
keUFGcnwFnqk0cORvCAlRQtdUrqV+EnrCnKyYGnDRWu3bIZWH9h1fQFURhdYZXwBV1oXiGWqRyws
zsq2JIGueAtW3qVeyZdj7HRvyHUmdPosqJOVkEk/nN+5F2ymzfH0pC8wTX0Ba8YrY3O54DYZsMpr
dYFwViuPs17JnEWS2pCQGQnuoQlaTyUjdCtsL0BPlXbqNVspnx2h0TE3zAr/9AwXlReUP6CgVUqK
OQlXKyv0gg1t7FRc00gDE80nlsvQMG14ixfcqIaNPe2EI1vA/DZE0mhlk841kLINy870M7elPgeK
+DGUGRHBisskwJvKC+rUdXNY0dVKQLWWFYbKAqr9Qs0CIjVdaakc29XHaOZZtM9XmipJdmYEODR2
b6asg6yu4a6Sl0D837jSWPGKAGZlj0uC5kprbWPPfaUU8Z8I1cULtVzArnkwyJ/6gnvNVvKrLe2e
tGIq+RMHrE9YGo9xrqByltRWKz22UsoX26St1G9jtvR9cAHNJhfmrNeMlLsXFK2KVizt/9BD/L3z
sjAqrgZk07IMm5X1vwrWNLOcCmsoERW5aB/IXgzYGnTqkMymfPv3L/U31Il0JMYr8m08tKpg5KT9
NzEeY50O6VLZhmyv7WcgiTWSEbZIH60voCb23pzw1akZDUnhOC35JY07/y7nlglo7lrNq+kRe4my
IG/Ms92xBAdiusZHOZVhnjV5Os+NNfpGyPdqfY/dtMh14dpcDanp3Wr8Wr9Nz+gfAseZP1xXYaJ0
tFtXLNfy4FOPtv4wUyWZZzbafxhKnEaStdFXpYrySdlWz5ZT0R9tLp/LfzTOuEl/dnVf/x7+l44y
+NKDfzvKuGGA0f/X4bv7TPu/Wjb++T/+6dkI/gEkz1uBXibFExD1/zvIMP/B9RsA7HJhEvxh5/hz
kGE6/7BsC6kdF7pPts2KQvnTs2FZ/8Df8Sfsy5UQuv8DZjb8sH8FufDqgeNzM6ElZF+PXPJvNp9J
s32fK8ciwjaw7n0XziQBHNPG7ef61iqsDwYq0KDTZGfS9VJpGpRpg7W1WOFX3mh+tosKaAnSeN94
jHBVPGF6F+TZgngstz5L/Z2tMmJ7cueZMDM4gBihb7n50us44/Cyh4LgTdLHtqhUsp0Re9gctVXQ
2PZHAorv2x4nZk3kwkSS8J712mM7q0Pvx/lmItsF72z3llNx7uYptlAgsfVrO7qPtHX7l2YOuuuB
9JqdaFR6haucWbPuXlo/6c/C6JyfrhsRsNVVJI3xsodcrERX+KKfjF6cJ9Zw9JKdK/dp4/5i7UdZ
x1zXcAeJUU5qYs+H2tqadTMfmTTDmVbqRyOK5kozFb3P0piCFk8fJn3LP9QUPrekMdzFwit3Ugvz
UKy9gxORfjDB2gxhImOEngIR8yE2r3hMn/qoU/thDrI7VkwW5jN29hziguYU0HVO/hY1hPOgReUS
YYWRr03y/BnCrf2Y9bVJZGW1J4cAfLTVq13sYQNsu8oORdXuMsLwTonf3U5QjJGBYcDvl+XFWPt8
Aj8QB+iO+Le5r65Suea8dIQbV1nmPtZqKJhL4wQLAsoVE0j0bsnV4zKwWnIYle/wLlYnmoCrydEO
Xp1mCQhPiE85urA3cyEuV7TsEiU+ym5TtszZzRYf6kjdGVpj9NVlI/LGYWwffSFeXcPZKSn1vjL0
Y9nM9zH6na2foqlwKEaZ1FvoikaDmppoW38ef/i6ehOFPFS2fnMiloXLQB8cxImxXabupHQ7XbUu
DVXSu91RB0V01QLdxOOnSKXC+Enb1XQdYRAOyN3RPPjB8GbzGs+JcCAllBBjKVHuR6EDNhCuevaS
prvGZP9R5vMLZILXJuh/58uCXrGbDk0d3KK11PmDq8X4G9Rt311pysFgYzbmwKq+dht91c+MmXYj
WVveOStn/UHaig8INojqW6fqDWRejLFywk2j8m70i6xo0Inm/usg8EhmWzk3M7KPpHNYO7G0vmvc
vlg25WJ21cb17WBBE8KIFGUm670doU4+MIFkjOVLldvwKbLOaj2+CzMxNvXME2S/uOgCwom9pt4g
z7WcmzwKyruqbuLmllKChfsOu2fjWyHT0rzd2ympErsShzqXBz8//YXCJ1qT2ZYh3uVV2bwiCpEP
emRdHiakweK19YRA3FIi5NxYIKR/lMqb4lPgE9oRD47nHSCZLqdIiEqE66yPaBa2f+O+LeqW263t
Sm73nMxooONqSDeeDaP7KlcAPUI6o+gZsnUQhXJuiQggoMR4lJPHdzPYuN+3XtM2Vgjcs7L3uYOi
5piylnWhlCqLBqP19cLaLuhTZrGqHY0AQGw0yg1qQHKpACEHw1EApnBDr7Rlt7eSyGn3S+SZwDwr
JnI7ksWCbO/ICSGsb4gsJVeDYSz6TDIuNu6A/9aYUCGFOmpqUlCbyn3pWWQmtJcz87kCruocxsXQ
tmfgzcwJTG/RXWgzzSHaKGEXjW2/f8M1HJu/M/KUq83Y+cnD5MGQ3ARmqcGfj6gNrwovD/ptFDf+
cIv1GfxDHw/LcDOjGxG3XUCICEvoMZ7vA6P3h2ehowqYd+laR2jsfMG15ZL+nEek3TEpS42AtCtB
WI7laPVJuCLU9t6JHvMg4QOpg3QOdiQdzQuffjdPjKQ62/2JXNq5D5JIfYLlmD8dpdxoJ1N7ApxQ
LA6BwpytwRYTbmodaC8n+6w8cOf7NHAa94iZPWsfmAF6+a5hWDKTUejSjPv2iC87i139NEo93KHV
svYAV6dj4S5nQyTZOR+6hoSmoXpw4/Y2zQzkjqQChIny9J5BTH0XSwPpUGCoOyaf0WbxS+a6Mw30
dkrUpxlnyyGR6a2GUo6MI0GMl/bGNXCLZleV+sqQ3GxVVAxbEMZAkXUcGi3Rwm3f9DeGwXBqMdER
Sm+kbGRmTANmbaGmRIemI3XKzonHzvXY7Ka6fCri6SG2nYjCr2SkixIyhY/Almwd5+QvnVHk5FD2
zrFEL7lRzYrloN2W4E24Sw6QKOjWZHMiRpVZcrC4V3UsbsnFXM65KA7dOsycoEpE1U2CS/5mLNrj
OLHnI+FiMxT17w4yBLMqorISYd6nAcMxIwMq0TNlDL1C2uE4RDwT6vtovUJLNMaLTTRgKpjLw1vG
3w9c/LaGmotJOyJlj5Fl3ti0lu57GyvjVPcq4XRc1QAe0ISqkTf4jqcwsqiXgUsfrbneCbM8ysW0
j50a+m+5uFsYK3nY5IU6JigJaxAwog7lyNGcNd7bMFbPnWkMVzMXROgIdonsJYMNIaVfRMbnQ+jq
6ZEkHybqkgpp3g2CoSInVcXcsEG2HTrTyBODTdU5U3N1GAF7P7mdn7IJhgHCBr43O8gZ6INSFDt+
4b61l0VuggpmOUgHXMbtFJvDGeO9bey9yzqYJcsU78gbJ+O0h4cDpx4nQPSAIUCCH48YiW8wQYAZ
RyZ1SIN62dWJ9KYzmjBSwSCkZ6QJ1cNT5kWDsZ9SBNnIblhlK6qvZl9A0nHvh6Sd03BM5zwI+7Jt
qnM5q/lYazKKWcl7fmUf02QxzZPjxPDlVW4V7OTX9TxAZzb1vq9Ee1T0MHymk+UOV2PfJvOhGflB
V80fYoCsyp3pRyWS0gUEcFELZFmH9o+U9TK6Si7igoWpTnaa0bOYLD0KDl+Esml6dNo1ItVfF9bn
cWhzJh2r+pwSBHLu20Jy10oVceK0R3Lay/6mED1BZq2dVsW9ZHs73hs9HCnmnnBloh2L8/Fx9Ntc
bLAGVQ+B0S3LTqF3bB9map4f6yrNuaulNy/bzHcmBkcVoeK0XVXsMaRx3eFA6536d1nrUcx1yUiH
GUHToDqkomqO/BbEldaJ8pMraaSERSpKg3o/eCqNjV2+imAy1lxUDUOAKi0OhuSlLOd8CRsFSWAn
BqYljwh6f7gk3B/ZMR7TCRk2j8h2j4DngBauO4pxrWl7DiEvyKGlJ4wNpnR8TkF04W0xfwaJ+MpT
0htRJBBZgAJP+NscPscTFBJ+TYZwOxBuL2qQp9owdtRtIcmq3r62AcQrA3hD2TdHnA6wVoYgfskY
b/pme2NKFAg1Mex0AOV06EybLX8RbSX3yV4KJ7hyjCIg+rU6jW39LHuWAJPi+iE0+DhGIkQhfNd3
rnrgA35LMqIztV3cGX5+GloJTkohoBy89jTrKjtGo3tFSXQX22bzg8eYvnUH/zlKk6dRVPvRdnZu
UQy7rq/ezcwkqaKvo30tWe21w2vRNvd9MB4Tq/oq/LpEB5Y+kcvwkGBn2DpRqz+g2v/wuUMn9Dyn
2Rjao8nV5xKZRmCuvTezBmUm0suNyJcvU0U3Res+DYDtN7Y33WD2RelDEOY1qQroqOy1IpLBm9Ma
aEPr+vcyxUMYuSa9CmQl7albj9NlMoPDMJU3shcPRZm9Ll5/a89MRxm2n2RU/GxGNLRlH4sN8d/J
wU6GaKPa+j1dcEwIViFo4wsi2RnYfk1j9zQa3qO5zMk2jqebxAmO9FL7nuzGUTM1ZGHekHLvXS9V
TzGKdcSbh1t2mQ9ew1DNVs19FrgPru/shT28Ms4h6NDqA27RpdvaI/z+2R/eOaopkRVZaMJEmxH7
B0rd9zoe9u3ccojXLIFaZPyzUjt7ak5WNahDtqqgsqD5FVlud4Ds9dlFJEckiIX64LTEkN9ojRiG
QTRqYveXDijKG+grNhoqu1y+posCrirMg5MW7xnNEGdLM/lnZ5BvxtIu34YU03XkpC/BQkib6uUW
HR4ZE0R0k6u2hVu1i9uILEQiqEvjXJFvv+mr6F5JvDCVvGYpsKe+3DH6nV7ncbxeGn2f01jdtp73
5BQDMXaOZfCoZxOaddq/SsE6bT3L9z5IdQpnl3wSp0VY5TrqNSV9IewnIh/BDtCWxYh63TK6T9q6
2aL2EWFAQvk5QqK7m4mAbtftUA5iyprvfbu5zyNiY8DOY2dLm5+LwHuVjlJdc9g0G0/P7GG0Bl2G
AfCKn2HF28BmPzw73MNlmn0HLawVwljqkx6ilnibYNwvo9sNB2e0CRpXkwlJidN2LN8IjVlNDXmP
ttpRU3TnjHPvwMYZqKLu6OJ0vWcWmo5XAkUmwb8kbR8p07MmHDozaQ95OvXZjrbHYdBeW5kRX5G4
M8ldrNrC3td+j11BIOMlcLLvkHEuwYwW0ib5nchQ9IVrRDTqUH/MZpN9Vi/OPXGBcmuVlsiudetP
BB+XsX6edGT9YIet1PUEcMsImcun54wcrIBWaCSzB4h+7y/b0eskBVs3B6c8q5YPpNSxvVUMYBqe
CXO2w8hAhG7c1bwroSQ7f4Evx0AYRRJO1UzdtYtWMzla9DE3JGfQ8ASqpCQnqJmSlm16/SuKmuk0
0lghRK9kfkWKOomf5lBUZ9H09m87ttvnKl5Sfy+IUKWo1cFV0Tc0no02Pt1ieY8dOyOFZ4CnVtdB
cqot5U97jXQbrF3bnwY/urek/Tqk+ozy4xY5cFOG3WAZN6WnA3bGynT3rSNIdGT0CLJqpZjZhH15
AY1PhhcwRgeLcJaeHhfi6n60tgXPhWIaWb8iP1Sjear0cu+g78KOiIw1kddWT8xzy4lZ2uPBDuxX
my7wnHhIm+uUACtFjnlBytEsys+BzfqxxzvFQpEYl7YvbxEoU1u6LQGypvU6FD28pUX+4hy61Y6+
hiD1pGFoRVfoL9jTuXYkPo2gCp4iEmSilbwzxPuiHx+ZbEXXGZpRnhYiV89xjQNrp8RESncZ5cTA
orBcV39Fi1xE1nK4Xge1h8XxMla4bER4P7Xq8jOGghsjmfd1hqXF4i7Gk9ciqf3VG8OttUrAiewe
2HdRsqn6ZgimPcu4r8ya+2tVAwIiCuJHlhrxgf0lKd3KS3gyWnsOo58l4wFKDwJZt/GS8cTyrUfa
Rxr/hHkHHK7Avqmr+Z1h0reI2VhzWhufjlufUmOqH7QuwSXywDxwPC/VU5a3lHy+am15Xzsj/WRc
rqUXrCFxpiUPuk3egU/aGLWHCJ4Vb/Z5QRDF7IhgeKWSUiw2MKbtjM5iXwHcBT5VTsQo/pxyZRfV
ArIedSi3vxN7FHSZ2SYPnN2x3nZwg/ZqceQeH2e2EGTGcgPBjD2/VaUNQbEb+g6jVSE501XvYwLJ
S8UNHTuJ6m46Ekj6xw7NMvmtnSCWnkE87DQ8usgDJZ6I4GdbBd77nKyDOLLZxG41KVRbxMvUrfHc
rGWmnfDY0X7eGTsyMzkpeluor4Z0OXHCLgPqLJCYADVYfGKusSmYk1E/sRAczqaS+T2GOu932hot
KnsS1EtGitTqBK6SN2T8rG3mcQSlFdOhLMbmxfMTtfOIwGvmHqcitt8rbxy/S0x3WwLT1D4acRGd
2JS1W0s1uw4Bb3BKtD8tR2nFnf2QzVKX3P2ruYThYM5KHgVWdlKBmFVoFrqPz730m+YwULD+YiGG
nbA0/Pk3LLws2AWWwc5wyHMVHPqMJ+2tknV1yjRW2KuhcrCZVJd8y9w20LgsIxHJ597JaVnylgny
TkgODfTwRpoxiWkYtqWl7cenpgBLuyOCjQdv3A/RHVw3ibTRwExluL5+ZxERvCRza2z7CBDkkOEP
IppI3xYoXV5Tiot6sbsrIy2ZLDHj+XYii2vSiN3sU3myONR82TH2L+m8TEjG2XlghNq0Lj0DKSbB
k50ny5E7IQiYRvHahBAxetnCXvP09VCL1d+T2VFc3uDF1OZTjyez3/OMqdq7XKVGeiTGHpnxpGle
rnIr6rPPpTPaJ9pBlpI0ru1yX/SK1HCd1fG6poxn99mdDJBrXWcQhdWlrl6OeYNr6Bo0YlYwufOc
F9UZVfVIEdxUD7Y/p91LNttufDVEs6ngEaLViHdOShuPegwb3m5Y6qlirV0F+OWsjGX4tS8jPgNV
jdQLEWC35FjVBCShrxd59sxbIaTHC+je96ZBUOJuDJw4eSj6ukM3lOv8R2TrCvdGZwjzt2u25VfK
d/Obdtsk+A1ZWUTwWh0S4z1wZZJBX32Ncda2B8QL6AHiweB3VKRuMhxK7Ni4i4pq+HIEmUg7wRXD
MLIfyvPKx/X3bYv1lK+OFC/it2v810js8eMAfyIysDIH+yniBDLvKfU6FCKT3V3HIpi8PbdJK8JR
Ff2qKDDQW3guVvid51TLFl7uIneRbycPdD+pZPSVGPZm6czV+TFLa9lRHse/+siOEMiL0g5OPNhI
oGY0t/CEGCIeaj1ekPV3LtJh55Bzhukxkr2+DZwiuRphPCVo8r21fx+xXeJdzTK5Q0BoTCGjQjId
I8/W+cHjzvo/7J3Jct1ItmW/CGEAHIADwwJuy14kxUYTGBsJfevo/6asxvUV+WO1wFDEoxiRkkXV
rF6a5SxSxL24gPvxc/Ze+wJVVx5dTgYS05OUwMYH3kyIs1ExOA9mH8tHxAzWNWsEVaCsNdb6RlL+
d/EGHEHKXo/Yg9lG8jy0UYwto+0vlqpZzqNhFte5ncw7xJDODh1wcuEO4th0nXk3k99XUDMfGBii
waDv+ZlRtQNCcqZMWpI6vEhFA4ZUuaSjL7Xr50tTnlfGkB3cun2Kjbrf6TpYysomSWxmyb1gTD35
IZ4AnHYh7D4OuhdtmFgnrqWRBE5cueYuXwtnPDbFDOeP0zRqaD2YQZ1uINPeElwaBmOv8kdoqaiP
WcMPk5Ez1627a+W2h7Jxry1afC8EK956Mj+xdXb2nJpk0+umc1N27hkoyfN2ICwqr+a99FC3tInc
Rlm07BBPRncMgF+HknBulGDGiSSnnnloms7+mHAvfEbOdu63zHBo7NjOf3KFujZ56d5PDJFkWj8d
NW5V/a//jS6VfF700z+EC33/t9+njab72yqJtlxmZ45uo5P/c9pIuJBLNBC2gjWI15UIfP8cNsrf
XI9AIhdttMfKLfkwfw4bySRiNmgw/15xTeDl/smw0TT5U+/J6DZ6acN1HNeyxEoR+YgUzPFXDiHV
dkD4Hi3vMJydp0TrO7XXqa4A8Xq87RztrMyE3RgtZ5khGkC3DCQ54aYrP9mi3k73c+eJiKg1h3hp
y5vJbjQZqlWdxAuiz7R4rNigyWXrIAe2dZMV0dFO4+60W7wpWuv9ufOJ5TUrLELUb3sr19oCtVJZ
P3Vod9kBPCHGbWLFFbHvOsPPWWrWJ4WQIwr6SEXP2CNL2y/BmEaB4AUqt6a+qHtS69zpVC7NCAE4
YgjqckBQEEYYRtBYTuYnTcY4LZjEVkAtc8+knM7QQMMxNpblgBVzSC+5Cm6fuafJwom8TfGXTsDA
s/N+TNuIVjXD4xtzWSxGoBjxjPQWfXEUBnHXyovSWzJvL21ovV+m1c1A0zgtdppVaUu/KTmtGYhE
tapsNyOTq3mfIvBsN+6YxY+oX9AUjfxFP5k1kQYjjp9i2xnIZyGC2zdL6UHfMIxKD/0+FSWR8Jod
FX7SCXyTuZZ2foimYp9ZTXWju0v+wLhDB747596jYyb5M4e8cqZfpTMgst+GAX3JTSXRr7Y26y9I
bxvDGQ3NFA8lLIjeouRT4XXXMVWYh8x58pzMfGrjkKmWMZkxno5KAaCNp0Fz/a5hVwnWdukX3XBh
MDuJpWL2wXWOwQw3Oo6NUaWXFMfmKyOVEDucJfp2C/SbXl/TOaPNmRtVK5vKOh/JB9vsAgOxmbub
YjU8xmaNSQnpMbMGWt3Jp+Rt1EINj2Zy1jrtrkOO1GIRG7DJ0pJ1L2RbzcxlW4NoxLmU5amZo7UK
4IQyxSmbbrxO8dOkB70QxhfKcjjmFuRbThhtDmlEq3g4CCVdx0J1Z2KdiqHBV36t5vSToN/Kz+BW
rkd9ljJWclXXtj7TBAJo67ehkyoTXd9B2QHB7SEsTHcCIzQ5ij28hSgqsUZH0mAEP0sMdoBWVkd9
4wCE8ae3WVe+oEzBXpZZ3QZHmFsBBE7sRwj8erpPzZGiFFp8PoGrH+I6OlYOTiow0V2/oGofx2QL
jWH4NvY9IpqC8uGeMF3+CtRK+1utiEXbpnbJqCvuh/yptjnX+Ph1eL6g4HVXlcTC59fMeM813Z2k
P8bRAhwkH5aKjiI2fp876V6EHmnZW8abzLgj3bVeo7mvVjN3adzIRmQ3BHSvzY05fu6UtxhnVuXJ
u4a4VjbgDIkNt7pTz33Dnp2GTjNwyHadew9jWb9tMSbyrM1oe0CJgMJg2Fkmz/SwqSsaXH7Kn5NK
evRZU7qBaFzTz0ZTdyeLW7GK/Vyd9Bf+E6u8YQmBE0bAtXpbat9ZKVJz0tK55ZLtYAS6gX+/oIEz
f+15rXFn/fxiH7lPOEIc07KJp4NNzSbyQSMicuJx3cFKAo2Q2w1Hsa+ww7tN0eS/ItuuhqEft4gP
l1q/97vv5YXADRabaUqCO0xtPaIFtnEuim0TaphDOZrar15jZTTcs/LY9jHpkpFEoR0j1UeiZzjb
n3/3v1BA1w+EBQdrDDsqd/3HDxTTdtWLgejuiMiKI5nJpLDLptz8/Cp/83Oy0ZrgdkE6Ccv4wBrF
kIodVCEFTBTEjImqkkUIP8CVESvr0nO75lhAkf7Fd3v7s+8MOTY7JLWCBQLW4aqYf378ckQq1R77
qvKHDWWo7/nJ9n7xXz5fxP6V2jyNPvpfPw3+8Xf94aIfNHyuTJVb5lzUtR/68JCgF6/xrthlttFM
9xcX+/jofvyG68/77nmyNBgUNByYlZc6jZYwpwRv+5Mhk98Rxpjzoq/V3zi11uzGHx7dj5daP8q7
SxWqhCKz3sxmi/UiaPww8PwqIBxi87R/VJvPox/94rH5C6/04zU/vJm4glE/F28/YBzgYg8sH0Vo
gArmV1daf5WfPSofXkyiKfPZQKXMt7M3ejCeKP+OMcHlEsjPOJ6OP39GjF9d7oP4UogyN1dRtD8H
z8tO3+tBtgXWf5EcITHsf/nbfVx2Pt7HD++fN8WMINb7OAbPvA3+S+mffAtu7n7+rdYP/e/vofOm
xXv3hHCgSnNtvcqyo7oI2q0doOb81S/18+/i6B8AhCJpDQtwhfLPm+1zFtx+tfdPdzffZaD/9nH/
1Xf5sHRMOaSjuuQq1qdwj0etvEv98iT81Qr1UZ744w/j6B8WC6/Ncqtdb5l2AB8UwF73X+S5PFGH
n/805q8u9GGhmBhkor/jQuYelyFLobY1LhreI2NTBfa29Fv/tPVPep9hzP3Pr238fJHi7PbjyjFD
2s/V+rAzotglB2NzC7ve/4o/xGfguKOX+qvb+vO16i9w96ibEodzgfIFS7/tW7xdw4FNN8BeFCBh
2UYbxHXBrzbTD+F2zocNx3kLmnr3BkjL6B30Wor7+uWu3BCi7b+eXOEV/hOb/ncr8brq/ew9+7B4
jCigNLdZv92NeaLuqovmRDyHV6gkMKfXT/MtmKFLcWXf/uK66yrxs+t+WEXwxaGSUFyX4Osgv6zO
w43cAY4LPsPS2HzDM8dTpPvffrV8/eK6b7vEu7uaT2M/6BnX7XYIIYNxW+3FOWK2Xz01f3cdAzkM
kSS2pNPw4fupzC1QX3KdZks2Ct9RbDyuaAXeaREAa/ikrsoAzcDeOvOOv7i3f7eqvbv2RyN00uB/
Io+O77gZt85dvoOYsZs32U4dzUP4e9XwH437u3QB463K/PO9+otb/38UT0uFyv2HZtXbv/neb7Kd
32gJ6bpO5apLjiH8ZN8TCaT4jZxqy3CMVRBvv/2n7w0n8zeTtGrTc3GUmCRerybxP/pNyOUx1Vue
xbHGktjR/0m7iQyZH19H4dpcXuDRlwKPvis+lCzWiJZpdu1m0zkFkKZeZdqyLclBMh8zYZvFoZ8I
IqLcTtp2qgO8fXXIhBkZavVFh1DIc9Y0xK+rVut2WZxGzSZrsWJ9o/HdJU9GE9knjVcP4jwu1y67
jjSzvnTiURmnxH8305WG5TA6Tq1BFliN6Bgf1lRrZBPp4waMkXPdmatNyarHbF8p1eHlHAEl+b3t
zhJRedPGX0q0oto1QUieb02RZm6jqq8ZT6pKylO4dvoXreor/kgcGz4Sue4QeX26ybLSqF+lzogr
m7H33iY60DHm72aS3NrprCM6THv0hFhcOJicQSthDO8sq0BgyDjr7umBTLcLvfsOTCjH/3mv1Z1h
XZRpT+t9ntv4eXAEugG9b7rj0NpdsY4uCOapQto7fhryjfFUeUv7EC0Cz6ka0QuIYYnvcYwz2Y/L
RoO0hRMw2nRROh8EkTDMEhcMQEviZ2GY8lPISrlxccsMsu/6607oxYUaIUpZanoopbGOijvs02NL
K85mGoIHWUzpI3lENoYbaT4TkGJ9hXLiXGt2h0gVGNFywkPbH1oMi4Bch8YIBNrOi6gp0zN78fLL
eDDaM7Mo2z1z7HqbmtLyoypqN4kj0OGkg3sPFixDTDGLkhGl238uKoGwWLL1bAQz3p2AoOaHHDQO
oYB5YDL8vmnJRwo412c03QHnLITS7BY3LTZg4ejcp7WhTqTsvvVImuG5qrbZdXzoXcxU83OGXdq3
5dRfx5GVnLbYJh9nVfdaQE8/XR+BMiQpsbFjYgQlt8PPpRzOVsQRnIO0vWpDRgf0SMVJ5iCj7fW4
6TaJEuU1rNbylZ7g+Bwzwrjhrpn3WoJVe2OEdncCG2u6Tgyhngcca4+jHbmovnpV9v46XDtg4cXO
rVvGQM6b6pVPtlD50Jsg7u4w7BrkvOVOIoujKmq7Q2iFiUFg/x7AxWaBKRyUGmhFbGzwL6aj1eny
Og/NoDc+8YHWsGMm38N8SbLJMe/oKEr6Y6VWMJtMexU/W2brbo0+aoLRwgIe1vQB86xwvjVGFx/i
OJKnMkJXmjp1caOWBjTQWKCh463vedpyWwzXhbuI7gzOo1Xs5wn3/HGqsrA5X7X+4YEknx55lJcN
mfo0JiAMPrWdCrG62Oa8YJU3QknQ30RD7rRKGxVv9YFWjOE3Yzvdq0lrUAWmuvbYqCZpLz1nGexH
SfE7B20aR+aZXTli2vSZBlUAM8FoqiO6Zid+kXFrmn2Ads0coUWiSmG+mjnisqtmNGqBjhkNpBqU
CbusH6txmsMjEKa4PCe5srPw6WgF+UB4xOIazHTeby1Zx7darWFrRIQJaGww9VzdpI0NLWORS9/c
y6gw9N0ssLa1XVavLEFjrsA3oxVryyqNUC6YMWZpnZ5dHoByQJGXlLypAV1seExRYsRBlw2zBZW0
XGxUupWlNVdmp9LL1KmSogtQWoTiaShdjYb7pIt4vBDeFCaQCYQMg6anox21SNSUUU2b1HJQCyMr
a+3pDEtd3W7Q8DM8Hk1n0q9GUaMcqTysE8T20WVtiU0LUPmqvQuu37qwJcMPJHpTd5GOuuKFz1w7
1wKj12Y73cyDpp+Bh1xH6bFOe5Swp4U+06Zgcl2fK0//MnS0nqOmHy4h6+nJzp48d9iMmE92ZYRP
BW3DqIvNmE+F2Fn5mh829oT+nSFMSVA+MMvopqtITWgp9LLyEBT2zF7udOaf6MR12vT8hdw1zqJ4
qIaDMgYp7uikrivqG7AL9pwTnVWGhwRL5yfJN24ToawSg6ZNXzzgBdOjWnvMSR5lCUS0MUyHJxSy
RUpmou6WV7NI6vQqImgAj8akxCWm4ZJETT2dCWsz+NAs3DOz0AvGFu3jwvoanTQ5nv37yLXq5lQf
5CwOCPTQizvFHD8JuAnwmgaIzmf64pUrdMOwHeA4CgrPuIkQY7q3dNZ49gINrIOEuzea6XBaWJoj
oVoRi9ifWHktxquUPlh/jFFvldcCE1YBUxBF9hfDnOMqGJIxodOZ9cUwH1PkWvYluAOo3M5ANmLh
W+xDgWLUy5TIc7+CMMsfF1iPm3zRnrIQrZAXLeogkSVsYlXKKyfNl+Qlk1Ef38eLHXVHb6yYQOVq
bTH6epxEXXRN2F6XkIEm6BtDnUuaGy1EdvagRtAtCD1Twoj8CZkhHX63YXaLzSCPTpak9V4yAfgB
MwKBj9Om9uB+bIknDFdm3IwA2qATnQap3pfVJhHx8lzMMz1dbDvV59FmSzhX2TITh5iOyzAeTXcy
m8dpYs3BoFfVZf1Jn6f5nLxG9dgitETYGfde+5Wy58alqe1snEZW15I8wL1lgtwxols8h+147Ge2
ufarPcTCDIaFXx3KY47dS9fTbWjM/bHgbeJ5tCCUgZRM0+YZZAccBiebk+XGQYFDzCpSpMRcrVDu
/LnS0D37wkUDAA3CwrO/aaCnMMUwS9FChOy7BR5vkdaFnzZ11YFT8Gp5w6KuwocWg43w8Zf1chfT
tiPDj+Begy1gnnQNfj465/YOpVvJ9uuiVuHPOtFi0GLTbeFiefbqarpDwCqV2la9tgKIS0NP1VE1
tPnp2gLUucjghdgePsa429XjmPXbpIEAv+/Bgj2ksYs6kzFoYVyU6OOvGar2KdqYPpSt3LW6WV/W
JeTIFxF5WXpI0BFkBBNOKj7NpTNHp+3cyuIGfkAHQRVycfdZs8JB3sURC+0BDdKaCxl27mmtz0lE
mman28cUZMohW8AiH6U14EbE3ESMgE+AYlLt7AIkyy72+BE3JgiECw/q32s6MeiwzKa8HyGe3GKX
h3jeiPJg9+TneWRi4KfUy+fEQ9I+EdiHNoCsv+G1mbusDLROd/rzoREGlWLp8mgQrDvTkPKKZvzW
SdFU+2XChAAdZGhx4qwjqcrGBeRC2GhaZ18rvZ93iSYWhKuW1xjSrxukWvTom9BBsx4tTehh/yKv
4dxCSaVxaLTtdjoBmz8IYM5icHnCtHEY7I0nF3XKdptcO5kQmobhAXnjykCx7ehSOspmEoC6b3RM
4CNsf4KURdwhAJPkY46AXVlblDhd+sVMbbCIv6Or/nMefH8e1HX6JD85D+ZPUfXhOPj2T/4wO9u/
GbYpJSMF23Jd06Xv+P04KFwMzdig+b8D/+J0w0ntD/0BogXDWf3MHBWkgaWfU9of50FD/82C2EY4
nWGsAXbePzoQGusneN+fIf/d8RycUUAw5Jp396Fn2UbQacKI4iU1RmsfVpocbzr8CrgjO9d8mBDB
5dsO8KR5wTwaEWprwSvzxdybIa/D4mBkmnkFgoUMxB6HIeR73Qca032dif68cVYB2k08uOTigjHT
0BT3zs2EKxDsaUQx1VUoJn1EDtmp5sXEvgpiMyu/ARkpt62CTLTXGzc8iwcnqm5F0VnX/dzLdHUC
TYyHm0El915h1HJHvqk+7gzCDLBBWRqFh1WjSN46HDgCEkO4WCa9u3kgnJateg169tbMZ+Sz+gSs
KI1Ou4FQEo6M5EMz9kPCw5Bamsc869vywn6Lk8a6Lr811BWETK95045wFCyI2MTkbCUKenQ9rymq
WUVQtdlSfLDmGu75sCZZa0YbR8HMR0Qd0aZVi4go827itwjsuBNF6osqAb0Ujitxsu4dK9kg0c7u
p1q5+WHprdHcjSGUK61e87alHmMoJRhEnQ/9AATdWsO5u7ec7sREL7E1ojW/GwSLYIuvm5xjtkvE
98Ah5EuC8GwgMHQiA7xa48AxcyE0heNDSnizBoaDqyqSbYkVk8WuWzPFB7NuvvVvSeO4wQnaHN8S
yO23NHKOqSSTj2tIeft7Xrke9kgsPPxFVGZN/qygbj6SPlDfRPiXn4Chkn0+rDHoAM3Izyje0tFj
dm5xYC/0Lhoy3zCA8hesrcTj4J33dPMNf/Zs/ZuoM+db7LEd+u4ax14OqkcjDhStDczSzbJz9ktl
72xgtfQB3xI1Rp1a0p/fkja6NXSjkCnKi6q0QcHX1N43pTeSEoxhZ3xwvXGZjxiimmVNlKGQjLI1
dBfKNPLhwtEQKkoy6ZeTiXqkOeT0zJnvR5Z2n0ujp1LXofYGiU6k+XryST4tEuHfEjHr92F5Ga8y
JRfcRyRcmadmi7rQ92SNB4c1xb7tZIlMuKJuKnw5ZNaLYBtafNuRab/VeRuwfsW2yA90J0kZIiEH
OUOtVU0f5L2WgdZSRYLZ0u5X4xQsanvvNBGlQYn19r4DLgoPO3FruFu21hj7d6vh33SdPzTxWVxY
UywwCo6J0lmXazfqXRN2yjXyWBZe8koNzit8uRhLAHfO11rp+D+/1se53/eLOYyMTV4nJF0/Xmys
XMqFwcqxDRXlRrK0agFsTHXWakVzMYcc1jqn7w8u0CBOZql5jIAS/D4z+Ue74n8HsOnaw2Rc9JOt
sXiq//U/3zdKv/+T71ujRWMT1YThISOgH+msG8/3rdG2VmWeaRHNyh4IuZSe+vet0fqNiTz/k2yQ
LLOmyxP3587Ihsp/WQkhjmOvj8E/aZWuT8t/zS0gmeLBB0ViWNKkMEQi+OPTJLSoTKnQIANGRHbs
49Tj9FPy0aqt5YDSoIAvjXlDVDcoOp3T2/Cr5/nHl2f9BGgCmSHzLKN+MD4mGgOdDPusQ71nN2SR
g0VqxvAwQ/X4wnkifIgJnIg3cJWNBzutknQvNBUVBGM1yVbNYgzZo9Eb7luWgfKYssmqAPtD+Pzu
V/2bV3ydAf54nyyWaXwYEkm1Bcrgx/ukY0Nq57zhnKfp5TVVsnOL7Dr9xUJCzfPDdSANIZG0UWOa
qJ8Mwbry43XQDbIpRcjLOYODV5eGKpEtKOm80Ol0fQXKM8KtZTjA1/CT3bANTped6Vi3Ls2OJqjc
hPiBFE3SvNWU5gBSh07aXtbZ7DFDBR4ldhGSRPdMI7XIuAqJg7HOEzeazBurMmaAhYk2ez7/97Q/
RkYllq1eTXFz4qSDvtyRfrWYO0Z51T1VXymCOcoaTlhZLNCgQYPDvkxCQDAuOlq1Sq9b59NoxIMX
kF/SlKcTxPQB6X62oFlSBLDvXBi6zk6fstzbZLaguQPrGu+BJUr+a+WoYrycU2thJAk0JrsaMC2g
sndLqWK/IweN5pbBBF+d0CuW4V1Z5pMMcmfBrsGWGkLTHkD0IaahVU1UTjdtQH2EyWGp5roETUh8
xDHK0rbg+AKMIEgU6eq0XUpQhBgt4mqvtZXeBgli7eSorB677Qh08pwHts4Dt16tbO0okZWApx5X
Ur0yH4o0qhFJe7qFtVnSe8Gwx6a3sUc3ffDWQ+g2zb0C2c84z+Z5BOMAmYMqFjNo5eJcNHGk3Sdw
/YrVWdRR0yzw87fZzJRxa6VdUyG3BM/mk1OGWL5ADKZ2Zjvq7V3peY131MbUTDcL+Mo2aKxUr+8i
JEjdRT/BKfTTrrVuna7NrS32X807yGXQnWOuLa59HMNiMvyud+r5S7GUXXHL01+PGxyA7ue6FWZ1
BMwzAusji7nfCtNtXm1YGidFZuAwjaFKtnvcgihuMgTIzXmi2YTLz2HcW9TMU45doRw02JKGZSVX
hVQQFpQzJT3+C4PdPJNEH/gVaNPOT4cWWSa+AHFrWpZNezWkNbDRs8Ry76bIsIq7cNSK16isCQVo
rHzAMDiQZQMQYw4DERoapoeRagY+S5lDuekX9zo0qvghNW3nRS8aHRhLXKdgdctxOuhiibWLsXGc
Hoxk3Dy4RgTjVokhe1RF2VznIDlenYShx4G+g/hEM8H5FFc69oI1F/Exco12CkxDEesSeXK6YUg2
80oobD/73ss8fT8ibGi2ugR5iJfNa+3Dgh+en9RVxV1FgNM3Wn/asW0Z1mDWwp0J+LUjt4Jw8Ijs
C4Vlb0dJol0YcwaRwLAn+4kWD8GBKmVD8tGKNta2jtV4YEbSFdt29aI67mwANcRdsu+6iKQUUthq
HefiPCYbPTYBxAxdVm1aE0rmnnCS4VHkwPcCnIILINhs4Ack06NOg0EDEQcylk7YETIKR3SLLIN8
q+rQI18mmcZhg5BYTSeR3ucQWdNSHrKiJZRsLEbo77q2ZsIZ66WCvjJppJVGH1oBzSyH/KDJ5BFU
fRRfT91i3itRMWYwZ099tlIZfbajKfwWm673CcUqXW5absOy80QnPsvKfiAbKXnO9Da6r/C0Ea8l
7Rn/nCbZ3apI0aG2wtAZD7Kekou+i1O50Zd4GfehoJAmH0PpaE6gEzU44+w+2o1RZT/ja4EuX6R9
emvQqNb2ecdMxBdduZjbXoyMcVRkU3XijoyiHUgE/Fg0V2KsvbMt7wx38sa9TAqCdLCiItQdI0Gs
HSoQ2FhWDXnBRkf6Qvhi9xr1hlH7GKmyEyC+y7M2LMmjq+VJtJ+gRL14wzi+MDIAgzI2RKEP9PB9
RG7mWetpxWaZZH81e3VzDwPg2WyihFk9W86jiQk9jMbrAczpi2wbeRy1Kt7TQRHXnr10r3PbitFv
plliT9Mr7c4EP/qYDV3s4dv2qpInIGoeRzzka1eVo6xZNdEXIj8m4BJhD31U9KZ6Luc4z7fMTuen
uFBkWpRjtotax7jJ0gYVrseEMBNp8pkTMCcS8nVDiBCLWT3UYA0qf+EqFx0vJyIYnFLml9mpOieA
XzmMh9G14hkSb599dVKTWabLkRdBGr1edHCyzYoNEZzjynKM8qslSarV+oUN3xeJKG8yCFPNrg1x
3hOfRsIEGuz8jlgBBL59Dtxno3lYuHmCI+ty9ET9KtgzNHq9afnq0XqPyTTMBvfEwLHMsM1VHKc7
3Zsvq3joZ/z7ZqSfFJrhXk9panhHvHfeZVaHHUd2CfKJUw4/dTArybFhsTm3nQsamE9JEYEk8MSa
4Lk4XiyCOiLPFESHi566XeL2aw9mpKAHXKUPnaXXug8PMWU0m6RXvZ5CIIw0o/O2kbcM9w6ULJZQ
eFk1YFyxwjmYOX0KY8ct6HbWg8H4QzfLs0zm+C3dTlIKVvmUfmICpFCt6J73yEOVV/8XMov/DgcI
zxCU1P/+/MCMFV8QDp/d11eQgvn7k8Tv//aPg4T8DWmEcCVOTvE9/uD7QcKixwYskKaWjjDcpZr+
8yChGfZvWLuYJaHx1QkTkO80FwYqDmAolJtYfNbzh/VPThIWB4/3NTK9PYQfSDdw+PDfVjfSj7Wr
NbcL2xecCFQP67ttOKP5MsGaj0/HYRib17osPHnBwHkPvuksdO39UlFMCnVaRCbdHRtsipx5GfPH
VuLct/SjHrmnRQP6raqugUBg9Ey2Y0LcWta8tFNFhQWPFOzbV+WmJ0UYbwat+DTWXkO1WAa20SIs
dnZgf9oNdvldLeyd7o2PzEf2lCN3xAbDTXCv8PWedRGVQy+WDTmHV31tf4qZKLaxtxvGYl8yyPe9
VmMZA3ZhJngnsfM7if7VzsIbuouH0sWqV/b6vjO9x5Eew5waJ+ZcfxW9dUOP/KKz0y1Oib2S4G+y
+WCGObyl6WiYagd6+0SuScLKkftS1I/EVWOtscMT7swJIZe7+etYn3fOrZnJraGh1Ovv8k4iWaFN
IpZ2XxIKA28qyFCPuF5xwEO9Lz18hdEqexDZzp77z6Uen4IUhANAM80iZAzmbwrL34q/CKINHeuE
VKON5XJq0NQuS/Rtg59TT/pdyTISjd/m+fOS9huK+ADk9jFqrE1LLF3lzSfSYuzQxUfwU75DrFC1
PLmrCsIQfj9UR6uxP0XpgypnqGXLEdQNLSNMXYAKcoDB0XWtj0E73kfJtEvsat/yc8oLEnvYUiVz
MiQRVHPTcC69PHDArLYkRfFdexkBaVyH7mJfm+2BgShBgI/teAKpd1uoy35+hfcQ6ON1H9/F3c2c
fdNUt6tku5PiSwwBK0tPtPzajIOm8w6LpgCshycO0GCMFlv6AxIWngf0droxQTeSAflIcMA+zPJD
4cizCaXAEBFtmYZAAOx4p0L3EgvpAVnMESndfRbXV9FiX8/JeEjGMTCSdJN4/IJdeBdG9ibvygsV
xucw+feGsPeTTjbGUNs7Q7lH3qhjnsAtIMvOzdu9mtsLDjSUkfkO4t2e3idTGQAXquj44fRLjLDn
yRTzrTIeUt09HT3mtURO1GZ3koFFDhaHCiUSEziXJijNfDvP4jVx011s490flnZreNNZYS2HhkqV
kRMGnzUpA57sPp/Cy1yIE/zae8sJg2KIIkKL4ocm4QwDniY0oIoTA3CICfrZw0WVjIHijR6JOwQ+
D9HY3wsa7iDPIUyyAly3ceH6Uc1+5Tans17v4S7w9iX3c2PKI1joI7S0lyZWPN7K2c5O8WQ2I8DK
lvitVOmCzbcCCpzbN243v1S2Frg5LKA0lgH9irsFqwpTKsIq1r5G39tBE1mhvAfF3ACIsjMXfIjb
mN0XjQMF6IBlPLhIPvYMgqmxOrWFUVHv3NbLj2VtDkGROBRQiMNMfUgvisZ9LZfsFip0HhQNgYeU
jvHG6tNjpQEGRsNM0Dee7WezHZJdOHbDdVovtwhwmVtmzelEiBPtczxXY3zHyrNrI3M7AuiKnGxj
ew/C/lTdZW2+yYlA6VygJg5ljkmyCLIMOqQIDqqu2mkwEopIbWkLB4wuSEEZdqpwcFF7xjdqt5Te
vjgOybKFaac2yJUCbsMhmoYjp6fz0bS3Cb0galniELCuW4t302rGKaADhd3POuUAR2k+5n6YTOYG
b8qjNKtzOBXnSWcfUgULD6lGVS7fqJYoNtLB9NvG2QgbHWy5vJYK05rtHel9AGksr5yEOifJy5sR
FoAziqNbtLeaG+4Btt7nnUfFzfkkMqjX9YNBulvnZBdK9ri12zYotMlkQagOnCj3g6wPy7y4cA7d
l3TuzoyoOJ1M9zlPjE/Q188jxhxTCr4K3TOwqkcbnsvWy0kjcKL4UqvgXNGG9+DU0lu2B9Jkt8A8
vPOytRexaXPthrnwub3aFN/2+n/URv3/HahMUfJzl/P5U/tUxv/6Xz/4m7//qz+KHwNRqXB1XdhY
/4W3ThH/q/hZixdLFzrRGuKtwfrHgBHQMg1SWqUWvzztRZOu3p9tVP03k5rHgijCByT/8f+hjUrb
jm7sOmNc/w4zy4/yaLpKfHLeQ79NiQVC95QkD80yF2yPdWhdNRmHN5SUcVcSngo65/dq+t86Mj6K
69fr26sqW4Ir5416Myi9m0AIU8sscH2Mexx1ZRlWxgGVHNbBanNi1VRs32RIEkH3hCN7nxmGoVzp
Tc1nWLFl/YuW7o895bebgUacbrKrewb3dvVbvPswZk7Jiw2aGBSaWAFQou55dGZtg4Dc8/M5zM6V
e4eENj55Vzn/H/LOo0luJE3Tf2Vs72hzaMBsZw8IkZLJTGrmBUaySGjAIRwO4NfvA9bMTkZkdISx
rmutq63o4Q4Xn3jFxRrtf41LR8SF+II+67FCvMAozsV9oIncGTrHZkhie7kKRxMNwfMDHZas/x6I
SJddZduWSx3+cIJVXed0+2pqnb2KP45zbvu72QzjO/yOlH+hJnxqMC5FAIHrvl8b4QerORBrpwZF
mQj1HnEr6Vk/6BrrkNHDt+j8vF4Vn0P4pOswLo0K+hhrEfzFhzNjx4Wizbx85CX/ysHTfiQjHK+K
uiwpIwHePT/eial5FAcpvoAHC0yxJhQvxisdhLfUjKa11/jB1sCxcNN1CZ4+/D1//smCtUPHVUGV
M7RIg14OlXmrG+WADn+IpjIV9EkpZA6X2ib8rjFFOT8xnz/tf7oFvzcISgcrkN1H/ZqmxuFoIHS8
MkHGMDJxgN1ghsNjb7STLvDm6q2/BmA94qqFmnnBZ+3UuKR7DEnbzwPrcDguHRyzBI7BuLruVTSp
zHmwZoEha52lH/XqLxWMqfH2/GxPfEZ0JUhO6WSRnq6X88u1Hf0RTrRBxYZtSjRac8qRKoKdTV33
wtVyYofSM3MQq7e58OEZHA612Fr5pGOEjmiV0/pdrKvZG4Nr1cX5VteJ8bcMyb+9WE9NLYCxQDIr
yJOPx2u1n4ARC6lF9453Y1Hz3FaU6t8tAfJZ51dx/enHeyawoXWzhvQKjxEqOIdYQ4JXDblQVj6s
fRaAr6QT/2AUWBGuhcGoFx7zhQRqXAhDcJu0eYnrZ0yCkBqpfnN+lJPLBsVrJWDwBK9Fh5c7ood2
2yFGzihUj/0NnOByvnZyZBLQVAxEe+GKPLUr0Bdx0FMhQXJ4yg+GEwgVdQgFrhtweD8OyxPF9VV1
nhTap9Jw4UOdGg0GS4AZg3AsZ63vvJycrPvcs1Gog1HWJrd11tn7vkj8GzFN8m7Ri7owuxMbgxuZ
00ymyZjuCm16cUsCyMeGh65jpEcpVbSkwhq3SWPGl9jZJ74aQ9CLDULurldekJN0TIzeOcfTiETF
tspCtfULOopAX+Pu/fktcmIVWUTHtLxVfob61OGs4smcalQGa1y7U9Sx+TntD/xd3BjvG6pcUTk6
6Z/fjrzY7HkEDYgUnfX2fLGQSxOgLzmhUJ2PWYygW7J16OjRZHDJd2LKJNNk6gsvwak1NQkL1yDT
InQ9er3TASe5yiAH9Pvy1rLiYldWKLMWDvWu8wt6Iuri+f6fkY4Yep4UKug8FjQcQ43GbG7bn7iv
yXRqPzc7ikNe9Q6QT23ucj26lzbPiacn9Lm8QBO45gr5O1xcEDoBRlMmxgnTgpIyDvOPCyDfbev2
7W4Vm6G+lcWfz8/55KDees1wPIARHA3aVaFGsRkWTq9Z1Cwsi4/V7H1MvbrbC6+197pPnQtjrut4
dE+vDwE36JpwvGZCBgupuw3KiVagGSVpfYtbVPmZamL+o6ns6tmt8MtzMRi5sfRUXbh8Xn9ldtEK
tiTCJnU5vgwEel5oKoPFUP5kPimL+liZdsk3cOnqzRIYuKXHbf8GrdILL+HrW2jdvpwcl7eQKvRR
aIEVLRjCqa6jGEj3W7hWlN3s3Ho6/0Ff3wq2TywB5gXSHv91/RUvjuhI3zfLoJfAIFPpc4KFebpF
4qep9048Nc+DcpNv50d8vaAMEwKQwI4HpNmxAW46VEYq6MaCA81wS2yz2n0M1YIgeVc49FhtWnN+
nYjVFxAnkQvXw6nRf0f15iquAnjtaL4G0o5Q9lFeBApXbn1crVBvdREZ34BvzDCorONF43OD+vu1
hmHw8/zsX19PNm+KWF9NHjKSx8PxvTbLCJu5NKyJ8hD/+lZIR19ZoOH3fzwS+l+WzRwZkET+cCRy
CbrLJa8minJ+va2XAMmdsKCuvPdohaUXFvb1KaVVQlpBnEhfA/Dv4XCobRb5NPQ8L1bZ/sWDAvqT
0rZZxNixDnVzlVRz+1VqX14hD+l8Oj/ZddkO7whG9+AeEIxDQwyOHjeQE16h8FqMUjSc7kzpicjN
a+uPj+Q6CoUNAmG8nFb82MvDwgkJsiLURIwYkELLdLDymYybfzCVACCEw1j4Uh1NpXccD+kfBvH0
Ih+hq8QwYZBnTC9cbCdOPrgElLWp1/gE20dRFWxjF9MYUB+JcCAFtGCrsC1JbjoAFLdBMBh/HKIC
x4O5HPCB4ET4Rzu/T7CVaNdPZBi5vSvHoHxwgXnsgLs6j+eX8NRexKwTRV7LIbA/Dk8rFIbJv2Zi
AF/3NyJH95HiQrW1gNDcyL4Tt609oNLe5fR9MBK6cBRO3DGEdSwp8FTAtMHRHeOWxVh2gmA8XjnE
IGTC9tEJSnC5YvK7D5ZluFCKnKz9gCrq3F2Y/PqnHx0FHNDWSpttB9TZjkZHeU5CGsDoylwa8ZWP
kXlRbXEYNypNEOpL46J4lxgTQqbnV/3E1cbAIVgt4DUUB4827pBlfYuJNSUxs+0hmIJrwukq/WL6
qnh/fiianEezpDgJ5R0Mpb/W4Fz7+CiCduf8wToO+gUoY0tBH3qtGVLMyGarta5S38bRt7SooO+z
YEBaPyhw7932dihRJZ0L86s/BDj8efXYLPvMaoOf9SznepOD8up2i0QEtEzWbGas0u4mGYV0Nh5W
pUTnwH9Xl+QMrwZfQG/Ilgk7ZnxtUQk3ulr6+O0i3gdGJHV/9QuAhEiZssKColftG7q0vr8FP+ZK
4BtV8VdejRDRpRymYJe3moYajq/8sbnwp2+tl5U/hF2DSQCMjxlCXkxLsan6fvWiVpZNN2cERrct
kkDf4+ad+XemLwAtgfQpzL3jYHTReWOJm73hYPhUEK8nu27o5Dszn0E2jHOXvJ+dBeQbnpri+zA4
YAs9rA0zJJJ90KBz6LW3Rja7iv6VWT47AAOBLBJW4EqdzfmtKOcJi9FwqO8Xr/YekJDDQBcOMIwJ
gyfAjXDAQQPeLrJV1HdwsWJKBnOfKrTyt1NrwOgMkqYtt8D9hlsxuG229UkRaHvOiX4aSMIGmpGq
XaIpKGsslvAi8SM8RJvvIpDwz4Q5VHLPAxsPm9SS8L6QTnREBLF8eir90Xd3Nlgw1KmMsJFbnTU4
6WoaWtA+Qp8EL1TDU1rGBvbi6ODdZZLQn9je5h5pK1M9IMNvyW0P0gRElavEh6r2BnouuaTdmBr9
l65BJ9hB8hWHIpXlWD7HFcRwO43NHzlWRu52HGdt7QIXWycE8nPEhWE6d9Meli4U/UIUoC29FT6X
4YaC2VovQfD7U0xwhCRk0eNADnNhO5n1hPdPOuMIDN93aFFSX/eH03ZussGK2/iaNgW8ReQGkU5v
F/xzIBcnePXUFfLumzaTi9oRs9KObrIx+4zBd55vx6QKjS1GRgpZ+0lOWHeVbfBUtU6Kj4gy2udY
UnQHb9gvD4UDBwnBdhdiuqV9F+ZlGIcfKmy7cLoY8RzbV0tb2BGSm+1dMC9Y/KZLqFHVzXTbbkJo
PTgmdHP/Ad2DEYlSb1I/5JK2cPqxlH1eKj/9wG5gGZBh35d+LqYvIBaSEBv6PsTDqZ0c66ao7Bh/
inREUF4nuuu/aaAD+hdicrbcuJ6rjagETwpZ2cefY4tRlCyvxro3xZcK87FvvcSVBJCaTOXDqBKj
eCchfxZXtbv0K8sdzj5hBfoDm9KMG0QKfG1STjcW29g2JR4jt201zdP16MrMvhutLEmRUZ07Z7No
2c9fEqGzx7T2kXJPsOODlGJWqJSrTgSfNaof5s4ZK7CZiyfK5dqg2iZwW+v8t+gqu97bIa/ND61M
f0tTQ2G6BoVqddtOTVb3JghgQXxJ0DAtdihpp83jUItQIDEdt38N01DZW5EvJdmLESj7Z8suAgZQ
uvH8PABSiqlYpngtsaoewITcsMK7zDH7bzN/Xb/Fs66u3sayDNUbWD72QJvRjVfJ5drFPA7Lr6CA
dLRop7zJuQH9qOSeAmyC6/obUIQT8qwVEecb7XrlcJVNjoPHi2rFZ2MexzgKqRuX0cwGb28TyI3D
FbQqB1fkGg/jrVG0xtvBhTm1Q1hyxDIHAwdUyXQGgksBbh42i/DSZNstM519DN8wD+u9xnxspWwf
U68fMU0BCzRsgA6mmF1gKrOHr4QBQJlWbfaVLnuePoQaaW3+xjyQOxNYsX3NEwlSUg+hqd+qGIbw
N/QtbBskAnZgoCmdutn0U66M+wHF+l8AG1fV+axfhacLVUMqDanCPSESnfV33oCWBCKpfPu9Ci39
y8FzAcHoaqz8bTHHuMf3ZeznN4kw8x9iGWUGC0gI9Qmangw2ZVijJU/7R4uoAjvt3yEzvgqtSDkb
11k1he8sFMvjyBoXGwu9jl4NHmNiSreuBLsN8BJMXxSU1ljehVWICSUFKS+8gTldffWR1uVuyFtF
dDI0XXk1zdY4bIfQ8D/XBlW+LSIVNQZ2vSu++8OqY5WpWd508YJguwvYNyq8MP8JsG7+jJVg8saL
8WYPhar2VhkWb80SttSNVyn8feoetQEacrO17PsmA89aqXwcHvxK489Y49ZuYYVUTy4FjHkW+wmb
gHEDwV1By3JrpCAlCgRQ8QTaDKuT10iPfMyd5qa1IG+DgyrDbGO5lTvvShvx3YdKjFV1bSoeUBTg
s8Dfec6w3Op+LIprfxq0sc0WFPCiPjbw1M7wGUHUvaz4Niir2/GuqQxUYbtyykqIV40dXKnAA4Xe
T7gd7M0CQNjNCPkNeytnPQ0NjxHe7jLF18EZ4MXdUNpw3us0G3xU8D3NbnSWJea2xMYx6l0G2wwI
zyM7bmYIZcFdKe/6uY7dLZ4UCtFlN+MS7+gePqiaCGMjRTvkEHNbkgQTGY+fSLeYbzxf4kkOudKT
OwtkwaPJueju02Eq3/agY60tSq0ScYgE98jtOIkSWz43tOdonmOIZ61a5OcmF9ZTFcyEGSmuE++0
7QCkXyA2YzRrZ9hgZEliq43CAecXvQ8f3a+EkhBCtVhLgS+xy/R9hYXUVT54k9jAbsFhyTHb6QmI
eFnsR0OK1UvWyvyNMZL2c9jH6d4BDA8AftLJr9Tx0285LANoJRwsBAaqkrZGmQRdvePqcvF15Gov
o5T2prriDc6f4D5kWGcNnvfWd6WXb+W4quFWrgyfUbbBLQGTyewT1iFdxw8eMWbxhlY/ypyiJEod
A3Yq7CuwCjJbXQeC2H3EqsS9z6RVfNFK+98HSELJ1s5U+pXdayabzA3qW7waAXa1rmqLDVFJue4g
Y8aK15wTG4WetnnQZocX6ZQIGZGml8+drMB+q6HrfyCtIdqdCix/t1ijV28mf1E8M4IfE8HPGAGl
l93HWqr6V2l2zm1m2TGCL4gfYYxpTKOzgWqW/EgbEOKRlhwaGAkxght5K0bwE1762UCMg2sxi9ED
6JJBe9uKIGK+t007u1FV1o9bOaf42FvQLyrinZq9JUuv/dAvgT1eS1N05SbEch74jCTJfpgWPyXy
KkC/bLSiRolzSdGNN26V1C1hWIr0vqglQr3GkoOzsVLHgkGPSHJer1LBI+akuAIFMDHGib1kjyO+
Owgq2LtYpsgraVr4ckNnl2zFQGgj3xm6I/RcnAUPB2q75bulW3BLMsSIKcKIiIB9Tbuo+9Jj0RJu
69j3Mbw1rNUZycwBGLqiE+G2HAkYeDPG/JvRpavqEpCtYbcEyClRV1T8sU1YB9d+kxthZGERiLOZ
uTi/El0yjq5iz3ywbINKcg5UD80PANdwUE0nw+d1TIF6GTPw5C3+M/zpY20jwcQFMWVXPk/fx6E3
MThuO4KOTRKnjX2N/Vzu7DNzIMpp2gzLZYx/pxBp8nboEKXt4k+pExgtQCen+tjMY0no6duLcVfV
qedu02Bu38W9ny4RXIW62zh1BwmGtwJPgaG3amxpPS+4hxXsSHBVKS4V0ut8sQkcSJRRay7Dqlsd
tMFtEGbBT+I7TtwYW8TjoKvlB0gtxRDh7Ogj+5Jizgo2MXtvLxlEJxq/WO5WY+hERuav/iNDD4+o
6+cArSb8Sn6hdBLiiwTgdAcLxX5X9OPyZlGl/jRLV87cXkZ1HSxV0m2wgWT9vCrMcRWJrWCPfL1n
3YxmEt5NTcqP8JLA+hWIXqb4chbptHFRDENKDBom7AiMUYdNgiNbujFCao/E/S7K8ygjFH+5lTWO
XHlFJjetH2PuBv0txx9vqFJ7W/slCjCGaa06WkHPX2lKDIaxmZTqahk1GjtF3fYZWEOHLRbzyzFt
mFMPCfVpddkCV37dLB4grEKLWW+0NrDzYfPb+OFJlGYcLj3+bIwbrcgylwRpnU5hONJNKrzXOkd0
xk9cNjRaLfgNIcS1/iylpu+i7xg4CZFl3uP9y7YsDF4cAklHf9ALuiGP2NO41TW+VyDz8mFu3+ee
wtaohpZFNwkBE0zCktTzyQ56/bPzV4uiMuQHUgkkUxmpsmIoaAkG1lUfv8W7zfkopprMpUHMjJQB
qwqEDpHwhpFcTszHTpAlAfTZlhQSWv0zF+s6Nu4Ex6pPRIilR+qtfkhOR6JDXJU+5ZW9mET7SFJF
dTbqnyJx+JMw4DPnm6bCq/qmzkNGsJcBayVeu/C+q3Tl3/tzzXSIc8P7nGtg4KXWcNay0vX8HaH1
eg4H7Y57LO6C/YxhSLobpGn+8jAp/n6+7nBU2cEhHpg1ZSVanhTMfzNVXxYAMRPtBmn7FacNZGNU
xuizXYskhuacx+iVAFUiIXPQJplKNMXOD/67NvyisvP36Gsp14HtGHrWUWXHg0HTdpWBUj36TtyG
c7IlGbKIiwPMyxG0bpXTkec1ya5kRbZ1HsxXNS4EO0tj6JPObvfZsNlDF37XWik897vWVXvRQ6hF
67lU02uKGXOb7jozRkmmCutph3nCr6wGHsX+NjIRdT4VdnOIa3ypufK6aiQfa73hy/lfdFSJ+nuh
fmuJr6qItKsOf1A7Yaqg8Pgh2yVJBraoE5zJyrUN2Ddec6Hcd1SK+j0aJU02BHXU3/Tgg+lL7cCz
MaFTzbkbfHcyn5AqhnLlR9nkTt9jDAIvlG5PbUMfrAvFPW8Foh2VUmuM6JqiRxYOq0Tr0UMkJsJU
MNglg5huoJeEV7JO1aaxvQvAk9cDU1C0zZUPwT/NY9Tb7BluiYYA6WSNqiLl1PnNDKboDroq99OE
wh2qTC2spjK5UFw8KumyyIcjH33SALImLDqagN04N+kWg8QxfOAimN6GbQU2V8cLj22L+KP8WDmd
Nd6MaY8b9PmNtS7s4U7nV4BwhMQB2Ray2+HG6me3IeDmBJa8oaSsufV2XmRzc36U1xuKUeCPsJk8
QGHi6PMydGaHLecJatxw65q84kFl3gat1u992/Iv7KbXS0tzk21kUmugZ24f1W25gN2wtZnUwv/7
bKhVE7No1ZVfaFQ1DSTPIwPYfOQOCky0+lMth/XL+txpiOKj/Q8O4nBNocjjbw+VnIuL9BVn9h5O
CBeVyM3rP19XYmkY7ytSDITH4UgyLLpuymjlxq3V3pR5YiJxvVonBr5B/twVvv/wD0bEf0fgNADZ
ftVffXkzmljttGS4uJunhv4Rz4aBGFkOzc/t0gKJyDm4gLg4tUFBktDUWcG73nHzSAOQcRo74Sru
FM96uMhebqXfj/WF83hyINB2KC3AAeZ4Hs5s9VFtq5G1XFp8dOthIGCepvbCKKdOAt1aExAhoDBT
HPXAtR8MS5EyCqaX7mpQEy7XeWp1uwk69mOfGupC8+T1y4FcHUAc4MuED3SID6cFcd9N5mDdIuYY
Pul6aW00VxLf2Ck4edWF6+SoVfP7UkPKBJQR3XCHO/VwtCbEew4gFVsfAP23DCY3JbKCtGiR90GP
9iMMymH8dH5PnrjDea1MpB+4wG0axIeDLnGw2HAZ6whn9XTPJ47huMyoOiBc2JZx8CC5+68cbB2L
C9M98TV9wMI4nQI+tWjNHY5MZbRJMQxfay0q+GrBO8fLRZnjdbdQOUvstN6dn+qJTbreaCDVaDvy
Sdcf9CIwQQJ3cJ2U6mdlGyBENFw0ZWANf36UE1/RtxAU8eg7B8CvjzZpOMdJXq9njiqKOREuFz2i
GT315f1qhMH3zMX81pyhOVy40E6OzDvkmLxHdHKPAsI4yGdKvEBEKOWSYEy2FUO642xEM8ig7zwt
1RBp0x3jCwOfOCaMJwh56PUx5aMv2dGi8AfFwKti521fi3HnTYbxFEpHXbjRTswRlNWq8sNthpTk
0fPQlsJatIs5V0OPbGt0hn01uRBuWFXbepIoGOFKGF4C35yY4O/WOHBKgODWqtb2cue4slZhOK7M
a7PHgqNLEpjZdnyViGm5cCpObNIQjbQQkBEoQPsYupDDpu/UwgTj0nJWot+E8aN7Ccb0epQVcCJo
m6KLAy7kaKuIkcpc1gKLwzhLYQhaYDqZ5uOF+PDEKERHJv/g9gRBcHR9osAqqSeHK/2/yyJ0iV3M
vNJLzgYnRiH5obXOEw5txT36OJQGx4ksB3rTTCvlbYdOCma8nYH+8PmTfWogwlya+QBd2QlHJ9se
HSehPL4aw6FOkFVWt2nS6fn8IK9vRVTyeG6wjqcQzH8ebjXoNKjI0u+iOuiiPBDa2byjlcDsplpZ
uwIbqPnr+SFPzAukF5U58FfcGr89Ml7ci1ntAUIqCaZtm2S5SwO5l3i7b8+PcmJiCHQR+iDj43jO
8SgaUH5C/g/AJEQ6uClT/x4sXb8PfGqcckouYRNPj7dStX8zAY4fttESyofMXEdIDdMMNcou8QE/
JSFNdZE3T2rq7B/np3hyIVdUN68MkIdVuergmqjQtLdXaOKc1tkWBk6yLZth+eNnDKwESE/XBaQe
APg8HIXaK3XriQdGlSJ+DCYUcvu8mC+QedZ9dpjbMIrLUwKRCOXG8OiGiD109qDZoJMI0n+f4rW8
sfNRv4fgFF6FOvA3RZFM7dbq0Z4/v4wnvhzhFljyVXsS5+SjCY64E7cteK2o8Zzky4r3+LKo0On3
ZUM9L/IK2JL780O+flZA5/DByAdgjEByO1zTVFto8WE2HcV2vVy5iEM/l4bCptywqBk8xs1om5Rk
U1os5wc+sWUgN6weCVz2cAKOjjs0IALYZgB1kQ7GQ+6i5tFLqR/Pj/L6/WJ6sPAgZ5keC3Y0vUZO
vgoDRT2/DOorGpaAIsAC+hyFsqzcCxv01NZZn2awXawoCPPDxVQ8apDxwYJgyJld5Z6ztnUyw9m4
9DUhdSbzG5dO2RUdlPnD+YmeWk6fZQRsFbB93HUhXlxlfoZ0feK5KP8tLi2vyg93zWx6m/OjnNqg
+GgQM3NESFWPlpNunITxx6eqkPyM+tpAK20CpzoXTns9Gd4lh6STsyKT9yko8TYcx1fL0jdNr4Dm
xE6DIvzgDBLubpqJ/sJufCVuyHyAGZKDEH3w78dQuWyaizhPbSTPlhjNpQ7gDqpaaLuX1645l/VO
FeiGCyysA4o+jUQDArBuNFeA3C78lhOLvELHSIdYY172o0+5WIntyQWA4AyOfUMLUY7zPrcgOftJ
VW3Pf9FjABkPLZuGzBU24VoNOAaQVbqAz75asOdmnMDer6o4p4sUuwi3pHCDMC+acpwxS+l29R1K
se1nsyWPi4rRqvDq7Aq3/mHKxZyuy8lwU4AiXFZ3vjUCcIlJrS6csWPG6e8fjHChRZwvgNkdE4mm
KkwTT0DqDjnM1S4bB/FGT6V9BUy8vo4DNPrMrO2vUqwlIFoYrUWzbfZNpG2Vpy4ciNO/Bgoa+r4e
T8bxvsm9oRwFzc8oxoOA1VCrlhggLcfdoEk+vHWr1LgRUP4BHrT0Y8tqiYxxDgAh5uLPYLl/r8yL
33KU0abAtHPwv00Ebi/ZQZ0s8am0LiWTp7Yn+wUCKpUq7psjVlAzZyJGzQoO6tCiZtWF/U+7a4s3
Yy+S27En8zu/Q0/cAURoHkeS9xik/Pr/v7jZHG8RDUQdQKyu3e46YwHEOlf6wtqth+ro1WeUle1K
ksWnPDp0E/jKclJkH0BI2q9xjjxG21rJN9jNlwKMkxMik1udTTFRPbaXW6V4KxrnVDukX2zjjmZR
N1p/yEn+vRmw3l5VW6movAbfokQpMX7BJUAlWbCv8aNRW/I3RAvPf59TKxfwuvKN4DhR0jj8Ph0p
QwC/k4EQeN/DK8i3fjP6TzJN7Pf/ZCiXAu0arsNEORyq6qcePA4fSU6DfIumPdiSIujGFbut84//
YDBIWxT2CNyRNzoczKlg8HgWYTTkt3Sv1ACbCPTLdgSosj8/1KkdQeDHswpjkbjhaPPpsnFQm6Qg
ZNtu9VSILHjwgvGSLempg4tagL8WnXhgjgPbuhw92pXsuxr0rIgUql/AhTL9KaXutZcqLrbnp3Vq
Z1BChH7m4LwFh+dwBe0BFxyEaohJGuT/86USH7scLAPZQnrhY72eGzUYiAKr6jD1kWMyjXaw++kr
ABc4xXVXadw+NUF3C/TOuxZdNl6Y2InRAoD7EIVCghN4HocT0wop2GHV7QRT6d2uYNEPoJjyXWqq
5TFu0/hCFPt6f3jcfshtE5yQ5ltH42UwyhzTaICT+G3yVZoL0Bzb0u/Of66To0Ad4RiTwnnH95Jh
jN60tIziy6T45oxJ95BWaXHhxTyxdmuARfeIlIPX+2iv0wRYEhkA5KrHeXw08TCSEQ5Y7a1Tae+z
1cblrz+eFlsQqgqM2d/Ns8OPZXslrlQpiQYEfFKAyvoL06A/JAJz25JlOFxLXOge/cijwNgyVCzr
ZSRpbGwbymVcGdSsnRpJ1aQdIsE3u7COr78W9zr4+pBMlbj1+FlsR5Cw80ivD3Fgde8vefxGKG3r
P77dffTbfOjhPrc7Wffh6gUoCY5BiPd8ag9oxxfVz0XiltZ5+X/5H/5bxvurCXlArXyOE4m3tSbe
hyMlQH0NJVo0dds5+1o1htwVQ3qp6v860GcYMl7iCcTn4P0cDeMjaNEGiL4TuGobYx/sFOw7PevC
Rt9fluMu70Oj2InWldMVtKBwfKKbSmBcm+3FTtypOa9XCDk/twldv8M5l+RSWVPyY2Z8yZoIRnd6
j1NBdaGkcWIY4nuPjckF6cGiPBxGzLQxnbVQ2Pg62Ia2/lnbIrn+fc7+SFLo/wdhRUQZLGLef6+s
+B5Fof94/KbKQ12hv/+2/9YVcv71G5LBx8cuUtBs+3+6Qq79LxIJNidkeHIcgp0Xoorhv0gxeHbW
+5l3zuZ2/W9dIcv9FwdolWHENx4Nb9q6/+d/H5y+/uh//0etqkfk04f+P//X8ZZZHwH+ECi/v21V
XtWFkBmwp8oyNnbQeF/TAlWhpi/+8MVZNYOoliCoQdeIwOconiuBa6IHSkl5Lu3yaygaRMamWl7o
nPxd1H8Z3FPgoqZHdkZrfVVSPzrzo2MXnsrCdFsnSx5sOs+ppp2eLO9nMavg46Dt4hlQUY8Kbt5Q
PekXKEWJbfbo6gW5/hHkk3LuwjEpwH8bRfJmlQB/LhBuxsrYCuM3QULv5KqIUwfdXgdS2TNCNoXa
6l55nxzkfcen3DbL8FYRw5SPOCla4r6V4Mm2YEaRWyd8sJ/haBRvV+UHuTdxJJGfWqtMC38TSm2q
77osxZ3Qg7ozKoWDpGulyo6YV0zJ3JgH0k6FNVYUTI16zjorFRsEIcevIkdDflN2MFgQUsQgdLS0
50VJN6AlnSC7cD/KcG4jYeWhsdMg56YtrDb9nNcrsLqYk865rxD2BhiBatsQqcCfv3jjpPF9DFP0
nJohxg1Q0J5q6RCAANpgwLYKxkG7+JnIbr4PmhwfExMfGDeKu8WYNmODu+CuBmiKDx+k2YC2eTrJ
SOLoBbsiQWaFCNVS91mRkN/Tc0bbpZ1A2YOGDJsoFfU8b4S5IN5QhOo9Hn/Zr0EpfTugjv+5oHaF
4KH00ItMCuE8kODBErG9/qlHwTmNFP2bu0G1Wb9d4mxBujcYinCzxJPGKJqO8dfYyj1kIO1uFcO3
wp+IwwyY5WWZF0SBzwO4nSVl4s0El+CDtuckvCIjDh/nvpRJVPUl4M/MCg0ZZZWo15b2YkiMN2fz
h5C5/w4d8wYJ89RPHsCJs4wo5S8den+YwkWTHM3yDfva1puqoGMakUwCmU9gYcldkMnquQDHFgPR
r5d9Bwez3S5JSCVGdU2MdmLa/OCKqL6P4VChim1Y2Ki0zlx+ytq4AYPcWOo9NdMOh7uhl9+KYSnf
yDlgx6MgiTxkJfNuF9RTwucxuuoR+GjtIXbog2Ct2rTcT4HuQUYi0gHXIsuZoKimlWYmnPCXH+jp
W0bNBOByLsSXbgGaVCqgSMCZB7fa50B6ImW3fP2591DQMzS8wGsXFfgpssPQiqOkLQA55jHoJY6U
6D70lhJ3QTvG7C8fejqfaRJWhLIx4GmBIr6zsnsgfMKdGRFT9RLir8CYgqc5TBBJTIzYuNeeCXgf
1EnxIcO1DMmnzjCqXZK4fYBmi50L+IPL9E7zSz4Ydqp+kTjLlR9UuPeFZQNZrzvU8dn0euU+to33
YzQnwMJtov1nsPk9qGjuTkAn4IbfJ4Co4UjVVAmHSQwmUq4ii7e5WurPtcj6dI+l4pBvBVs3BQOY
+w6XAajPXQzz4z4ZwlpHTrPoj6PhgEvPpjKT21YAQr3KaAgsq1gzgOG4QpycNDgfOCGBs0zIz4oy
3MjZW25ZWrFtHDgpoguatwqZNnTorwL3gVqdi3hiH9vvBs9HCGDxLLaimbo03ghZ8n2tyRDHQlHW
CqY0B8ZuxI6zG0y3f/aDIvBv/VmhsMpR+guqZJ9s0zybBdWasObvTpLSBFKfmL8kjethSxxi7LCz
82A1oNXRRVU7tI9j5rnQTWgvIcTN/XeD8YF2wU5PRb9PQHt/6HWSQycIYv+LyLTwgRuHQIw7TPG+
1ovXONHQCJy0eqGB2ha9Hj8kXIcLMtwpSM8knoEBOSmYj0hg5tDiMgRqVxdoZkZsZGCzRmCnT21g
z7dwxjwKi5Qb6p10Fm1ty8qr7uMmXPqbuMRQPtL5UFIOlkn4kBt1O2/myjQ/pKaJ33JfgsreNcia
v9e0iiSffPb/gvIHE8Bq8vldEnrVz8mTXGNm2hlXwxAvuyCdkEnVhuvRW21wO8GBuAx3k1v10GWQ
+49q9J8yXLRGpXdz7TnfdTqix8sjXXQrhQCdUR4jFzdRJYC+OkVf39qGn1lvRVayr4FCZt1dZ9ex
juyuazyw+lXig43GQnO7UtAQ4l0yp8FPdUhuMEyF4Kbh4P+0fZV4d0mfNyW0wR5pzKFP0tUVuoqH
e5Ii0K7QIE1c8Ypl2o0ouFM8lp1lQ4FLCqxEAeo+L1O2agmhggydwHdznth21u8zxELTK4ibAmMT
Sh9b4qU5vC79UkCBGNNk2PmZRDMKN48SltwCUyqqc3ycN0DqsrvezUGmN0YIkBwPE4UniB1bX0WA
DOo1SHXa7nbdOsmN8KvZ3mgv1h8C5H01t0pP3Rt8LtXs0R4tYLHByPr7mbOCzVU1fV+KhWZ38htW
IirlfARsrKor7LCn70lfe9V1n7nTci0UBD0OTM4uaxKw5MDmZwp7Njejwis1KaPATlB396Y2fNZ+
MTV75YSF/r/sncly5Ei6nV+lTXuUYR4W2gQQExkkk/OwgSWHBOAYHXAADjz9/SJvS8rKulKptjIt
uq26spOMAXC4/+ec7yScklNz39I0ldLShdvbQSdCMeJhWG4bM+2GnQbDQNEA0VQiRF6BiMxz4ey1
n0tCFiWtjjpht4Lvnli1+xh6TQbEn1rR3exC/+ezWbjKKZdbin1pn7vThnFYLL6Vntuh/Gkmb+2O
f07DaPUJFjseJ+Uon7LYgqO1AGmnZjOZRmO4N+Bcx3jT+fiFmuZl19oOca9zo1mxx+A/f5Ve0FxH
RQ3l1iHDdmezUrogjkkz7OHKh8NhFQ3M5qxtHAlbZBbhTUZShFqz5ZwcG1Q3rhSI42+DfVyFxmGa
p77hYZ8N0UUh2NocLaoDCgCyqekzpw15gIzV2bso5970CKoXzXAce4MPErtHG/sEYsm9jrjh027W
MLrrThs7sU5NdhBFYXmJl5HF3A5LZrZb2fjtMywxi1G60Rgnc3BMIx6w5IMJn7OFAnNdlFTeWev0
3PZ9mh4zVXItLVhLs42cIBLsWACI47gUqr2HlSnlPiNjnVFx0i0ZG5rGza9NZ+71JajZyb0wjfNl
PJxtabcD2eHq2EJ4718oae7jaTbkA1kC0grtMI/pnmZ4dSREfn4RLbfSsa1MIjwMXLh+TTqT7WQa
aNtJKIpeo0MnoURdOoVhPTaRtssLrkDfYOZH5Htjd2lob3Hc+W9YJMRnOaqGWNVcl3IvxsBYN9Sv
+LT3GBVBDq2nPnEqUV8b2mnOTy8TSDndOu5FY5BIYrxJhLtPSb3iZM1NtLtRdc9pSMpxswZci+y9
wp62TX4DoT7TLvxkwCl/b9iG/Zqts34XTAi5pN2F9bsXfpklKwMlyrqly0XaN5I7juZY0g+laXEh
N9rkAs80LN4NQAeupIDuCR5m4yzvyxXAb9wI32B3Skbpkc91/prLioIh+t2bi5Z0BakaS4uXaljZ
PxSeNAl64J0no1GHzjMcDeFvlF+xlKVDEULHKVqcwDCK3WMY6IXoRb2uxE09OwK7OAVsKKehV3cB
pz8W0TGN2KE67Wckw3M/kqJkMTSpwGD+QJR1Y2eL/tEG5RIkKUq4jNNIGkO8BFn1heCKZsSBozd3
QBHyj66fiL2RmqeIqsI2CLV+moutzKp63OTrMPxgzGKQ4TOq6jnytWBmTTv3lSTr423H1V+/ZWL2
n9ZVEQySXV0PG48s96PMTVse+MZde7M0rtots2f0W8M4p1/70vFeU+LroB6kBSFBUbW+oc2hp84W
/DqLfGD0l6z2XR2n+ZA9kIXy1a2WITo7dZZkhZUPMGOnVI+HdZpE8+5QK3IKyCG+cT3nr+swGV5M
6MzMyPrMBRoM/o6Rj9JwSdqBktTEfRvqw+U8hihsVscrWS12BjIlQbPB56PWDd4ieg91ySiTWzP9
nFZWWvJibXO7hK1zymirX2O7CqsJ1EspHfZQ9DDtFFU67mE2svWqn/Kx2U2lqT4D+jJpUM5KGlic
waYI0RR4v+JJ4ChkVc5GAN62S2XzvABpDKhpZq/VluG+bM/XBEYKr9k6ejQ8dpEO0cShZ567hW0t
LgMZDinV0dP8IbRlXQ2VkRs7FawOJ5J+BhhKpQCbvJ56J39bkvp6IyzCYujO7njXz3kb/o0H5XcP
A18B9xykJKI9HJf/Yl2rCp+AOO8vo4Jkihfe/Y2QOtoaOBtZHzkS1k3X7Bx7zf5mzG2dz+F/Oqfz
u9HfOOIyrHWhJ/15ThWJ1kxLElJxsejmpZZgdPnICdTxKeEf7UBq27SucbQiLFmcE8AdYIftPEAK
SubUNagwqFhe77t5tU7SW9aPTpX+p+GQGCJF67HftOY1fR6oWLaTX4Y83/7zZf46Mfld7Th/cIzo
UXaBPzGD+G3Ilq/0tqZGZ8eYITjszGvIPcqxwxvX/p//KuR6xj9nCZbEzXnG/osk2lVm3pcYJrjP
pnybymZNNCCfpIxk/zdj5v/iK8GCwKiJ/yCw/u48F6SrLT3OvKvBbC/ztOn2RrrWsW0E2Z2a6o6I
z0ideK2dE77iv/Pv/K4W8KEy9YCei1WISzL4TWy2jSgCmpXbbB+ycG+scEbIt7LEmobDebY1b//P
X+J/NfayCA1A7mEk6/8+kSK7jQ2Eum5Wh9I9lGSyt7LI1d98qH99V/yCX37Lb5dKiYBlQARJ484w
A3aXfhtX580GHWa30+R4fzPD/0s/ys9hHtxa5t4Oh+7fxW2vgb5ahH6WqMUprr1Ke7fd0rIBCRpK
SsJN2Vm2frf8tEwPeWlZ+1HAR0hKyQSHadk6PLN8sW9jj1gVh5pMZJWMw2i3hwUsoCDJ1oEw4Ir1
uFV7ZT1ovQ4PQCLStwLirPib9/OXACBzD3J/kNcxBED6/l3tM+go8vJC5Mm6SoqF+6ZdfCClYXnl
VKV4y8dVnmv3qk/HSx3IHwTv6jg3RyqvpACKCZKyDiDWpGxjkqLv3fd/eBWdE0SoQOhALj1Fv/vt
ncUFQNNGGWtSnl1RUCcT5rzW31xFP2HOf1ou+TVQrG3PtlDD8Zb+eRngS4LSA1Y5ifQS1pd0G9Im
5nhTN2xMWZZmvLYkSs9jwel9Vdp7bLWdV5xPZfPQemr+XgQk6v/my/nLtX1+UTj6MG1hLAp/9/UR
kyIolWZF4vcfdToCE+76bjkoEF9FvNb/9JO2CBoyEcV0h0SKGvbnj4CdUOAaacN5iQUCqZdEOYGc
f0tT/0ja+H+/LeGn1fV/L2tcfacsat+3w9D+67P91/1Y/VoZhSn7bCj4t7zhmX9AOmeqj4ZwlinO
Yt6/axO8EOUjOsc1cX7ymDz/rf9ZmxDwZ+w60DS5HczAtX+RN9w/TJ8YApEuk1kEQtY/kTcwVpzF
hV/vHhMq3U8wHTco0mbw292TOgCKUoftc19BOjsXKDmPA2P7cWdB3ehxT/fj1zTL5UWMAJ7MsOEA
E43SOnb2rOM2aKx70kE6ObfYHppZUFnids8W1KiPrA9Lqp1Gdc0uGba8zqYjoJSZKSE1bbe5S6vc
hhEGjvqoACsWmPACinSy3hb2gmwl8RtrUTfPOmryXacEJMKyRPXHl7dpcoRzmLauuXdQDx9dm3HX
BoTZsJtH9pY7M8iosozGIXi2G8XTsglWdRrHonwlCBVZm6kW66HIZfsZ0r50acgueKWuLUhYbO7a
KOIw5a6NfjibIB6HqYiuGShyUPIhcp21J8I0s2VcujJAf2aGWbTEbTI/nsE/vZfZGO4xjhmXfrm4
N7IuxVULe/jVtB0xHrOVoTNEGGn4L4McmdxMkcP4FtLF3OiwSMjyOq+Uy6c37lTqh3qY7MfR8En8
t4rRg5lqMvazmPnEwnnNPqFjZM6mcHV7gjNzbo2tRqL9As4Pwz/nTC3ABn+eVekH05izz5YeTLrW
q4VBDuKXvJ9VCMKHpvX3uVjGfAcriS6hPHLXy3kOoQdkyrM4uevzDBFXIjH8EqtY0uZ8HoPJPxWW
Xd7XjooEs3kr+0wdCHPxQkHDsh06RBbasVJwe6bhzhdzZwEJmHLnlS12ehP+HCicndLfsA0gz06Z
gEQUVANs6hEOFV9kxli9KgDUNN3z4sE1EmSO4dHQqvFNRaBEthVo6YvF9bosJrs/JGVjtbcpY7uP
GR4VMfPzwMXQVqyG+qMwqhs8+guN8WFrHZAtRLfJXLM+WjzEb8LKyZ9GO1D7lg77R+oYKfRQnOxA
XPVWEHtG2o3Y/8b0CDTBue4trz35RRfc5hRiUXWrvww3PXdCzuJZhyNdVjSgx7SpR6+ddP3HdLag
W9EgJB8H8BjQ4I3quZhdJz8yf+UbSuXsb7VrNSfflsYbz7fIOJh0a1L3rpommc1mpVA+c8OrtuFC
NUuPMQCGLfF9hl8S3rQeY4R5WqcqcZ1xfHEABt3kBY1XvM9KrLR3uS5DSwt+g02jByAS2oBvyGkA
iKhAWFS000KUuDA9GgUYd7pC7IIyFMHFQN3oPvTPXDtzRCK8NJmuwyIwVRgcZ9+j6KhBx/FDw8CI
Gem9FcEeukp91eh75sYpvuIOOkcE/f4b2VHFSxQeLD1dN+PFStnvVjSeEJvJFdl2rWzBrdz57vd+
1RVECNEOAE6k5erbrnbcTyAIcCtUtUYJeq71iKkw3It6rvbr6gH5K0MKGNXA/8UrvK3A0nMfAAYI
NjP56pqfh3b5YMJTusX43209P/3hzYGfU2Baj/ll93PIzNWXZt9IVNXWVqKnvrWqOd8MOgVygQMv
3PPY4L6E5ONld3NzZv+FQTHMoDxa57WdQ1aKsgnOYx2b23QH4YO5T6pDQIQwzQbK3qYy+wy1B3jG
Q10Ld6s3cUgry9IowVLiXzieYUjVAcC1f6xDsz6pNtziqn01zLagTGxIP6aAme5mMoejX7S3plpD
phX5S1HlTYLstxXIFptVuB+tYolPo7X5zAldI0WlxZWXt+J6nuoDo6JqO6nlSeXh42IEF/0YXC/F
cDHWFqi56lTn4WeYMbKyxKl1+ttoKvJNkDOkdzSOM220t5ViHw/W+lZqseu79TnNnI9ypI+D+PVW
Z/qWTzrYMfkRcWH59cMwud6zNDJ4LgVcVDvvWqAV65KAE0R7Mcf70Kl3M2juuO/Kj0BHl6E2fVrq
6i31sq/+EqHhgGaq7Dt/sB6D3paIusOBUdgNbJZL2otvKqPa913zAu31qsinK4Dt75lpn/xoRNHj
FWNes7boajuVLncm33/gjYI/UjfEA5NJqlNFKfe33o526Rp+b2weSBJAz8YunfcJwmbniu6i6BbB
wwSb/opsyh3AzLBrqpNBC+NiuB+lJ14aWSZDFt5bCrt9ZD/M4JxitgAlhcdIXFALjhTMvoYtQCyE
pTPyAHYOw7lioaw0KHY8dyDHqAgQeWFTHdNa/UcwBNbRNPyOnu5JoyWFCARRBJGmjD5bQLCHVhpP
RId4IPQYLiEkMIRsxRD+BLac8mh9Ul613nGGn3cZp0wIQTw9sLhyFTc8BENooOiesg/BFRYRsEAJ
Cs1dEXSpgXt2ZmEezFWF+1pRuzwlblO0h0G7Brp5/i3nHt55WRa95I3bH/tRwi4JrR/ZmHUJNqz1
OVNhtpsCxLQVH0A/1PahU2EoELPT/mDlJJQ7b0y/ACGRECiCCSjyFFxX3WRsTdb7JplyiCOFw26F
cPi0o43oVIXeeGzPWpQ2y3cdOUcj1E9G0Re7IMpyzH5Ffws07rZhPWZmLX4YozElvAK6DZvhPcRF
EgNKrHZ1OXhbjBBI9T2dkhsx27SHL9EbrgMort2EUIEZ+Dgv1hh3tbLeM2bIcbW6J2eqL43espPO
8u5TsqvH2lRvYIwqcE0Eh3mcV9Y3pX2Fqd+jP0ndZbnc2V5hxlPuDtcqzT2IEyUVj0t/LDqqNhAD
7hCdDsJmCS/pH0DDLcykcrPy0LKLIw6pD52Tih13uEcc0/IvBr87TYZ5bRTqqayKT9NhkpQBKjx0
YXZvlt2DnS/bemrcjS1FNMQ+3zPF4Wp4MsqBUkxl+nu7gtjoLOVHFrjv3dQDoo26l2A09iFvb5PP
0N3YK7Lsu/quXoz0m7Zmta8lo09HpEgSitKuYW4+a2EfwZLxl9Blx1M7r9O2rdSPzKr29ViO9+ge
iOsWHBV3Hd98ZO2jX7XrF5Kjl/ThmFM2yXRspMt3Yv47NnExN9TFT++TFu9siaplW67qygnLemuF
RXSAjChvsjy3rmmu1wfdjXaSI3exRJPGQt3R/p5T7ZOWoOuI/45vBD+De8P8VFFQbx0jXI6QzU74
Xd4o08AEM6xRLChDp5CSouGmLdyNF46QX2ZWEzOi4Df0Xx2jpF4mW2/LNmuTISou5FzgttCLu5XU
zCa8BQBi1XDdhuGBJQa1M3Lv7VTfAFnskJTlXasy58igr90yPtxmfi7iRZnAcNPhvk3zIycH75F6
np3pjIecye+GPVXMlg1Zv75oFu/7NFtf/ppdskBPcGSZvjsZK6WwHHwRVMfku0WJ2MBYscF/ZW4k
ye8E4xz8nFS/GHogkzMB9nFENx790EkpIaUCcVmtTbCmwbHUw40zGBVsCxdZ7uxinPbMnfeGtb4O
AZahCIrXl5KetfXPTLm1Uq+hPVe3gRJffFbXEReosN1TV8hyRw+WPLen0RHisS2PHCFiai6/Iltd
R/24q4vlEljhU9csxYbqm4l+kWaAA8MTNcxf7Lz/rG36r5F9kNY4H+vB4fUwGdk1VVBcdHb0lvWe
3qsyPS1GGwFhmL5C2syS9dyG1dWoAYbC1Vp7eCaqAfqmA4bSW9nhWSIFULJKnvviR2q4n2m9vmAi
3gKRXB9tnxbuQG7zPiC9wcRlt9a62hsVBZq+xRM+88a9aPKjs8J3hbObXurVOVdOZ+tG0BW/meQZ
5tU53lba4xWboOzSz7CSIL9CAmYQmWChOJT+0m7I1D3RkEQ8uQVkPjYe3ijXeK5a6e2LJjc3zJ3L
mI/e3iPvRHE1s4e1zTW6hpXZc0Q7r+pUm23dJlBJih8/7pexRxcL/HMnaXMYDaM9LQMC6SQZ84Yw
75iIGWlsKRw7buk7eyRuFHJGphdmzuNNc3g51rbHGD2dj1YwWJeiOl+OmKpeFoVAW1QTCPTS3boj
5QeLUwNisW1U14E27CK9rosAmJ0OwJ+GbXB2Z4y3sKX4n/UaIGC3ZxobHbsG+6FDsLZPXLv1blkN
/xoCLc+byRKXLHjVvnDFy8rkZzOiOYLHZAMHOjHgGQ/UlE21jk1zabeToDS2KHpkVaNIzMo1v+sC
egLdUGkirXGf2azUnG/H/aKW2OAj23ay/Gqq9dqNhn4HO/yZJdjaBbaLwupRJ0tAnjrhsq12a8/3
GSqr27ZljlPCgsMJtoi9U6pvjVCe1tYxWRZXqH+d8m5ZU3GqNX6PRTxVxAyL/LaaVHky7SliZ29Q
jpFNeuut5UV2brCAoc9K3OngA5caz0e4k551Fgo0E8DArordyIWZKbLsqD9siieanCUFHAfX7m4m
Y+lhRjRmgE7Pjd3DbE0WlFmeM9Bh2Xmk12vHW/Brc2va5vBo9nl1yEJ+6WQaHw4Pn4tRwiDW7Yxv
z2zsLa6ubtOmhtjjvasu9UioFxXsDgYl2/Q0tXaTW1nXkzddkt8swKb3b07BjiUP0K9wErx0FK7v
xymzH3PMHMQ6KTemMtWEyZfNl060vOJR2LmEA+M+z5c7djjrl2CqT+HvhFELtuQVN9K1gzsC3LcZ
7AqkZkJpuuJBOhgXKgfrYA3Dx6yt6kKt/lOzuANuBADMM7bBJ68QflzJot0XvZfYlIO9qjLj0Fli
h1oVMGOAst/p0njrGhxluYxi6RUxY5T5K+/gPfuiR1By7FfalzsevOj1c7C4iW2P8GLtZfymPKqk
12rtDgEQta1bhxMbZQL5beSDWxIDvLvgDC+MzvdIs94yxX4rRx7CSssxoQhx3AR0bbfURGypMEsP
jXb7m6DHGGdYLY9+0wKkZ9pbHagAzbtOtyO3YiECZwezMdiqfBwhIhX17SQ8uW9LPwcrJ7sfILes
uE+naCeVPXPdZJ9adzkzAATR2XbfAKK8Sz/47Hsav50mdz9sdzKey7qv5s2cUe0aYemeixIJS3bE
HVJ8cgViaBIURYdHJLIBhab8O4uDJBpkeYPGSXYgHdCszbKm+zaKToG7jN85sYKLDOvstkQL3qsM
zGXVYKgM53Zg1CrZVTF9Y5gU5Siro3UbmAZWvODSw093F9DqrHm7u8kJ671fiVeae86o4HS5j1ye
2n4/DwmABx5yguGMp913pHwe5GcpJBKl9SqNGe5tqe9WOC4txyymUoMNPRpzm98qwsCBnriJ2pMR
CDZ1rCdWVjXsj8wHJnunpuujlzqTNzbugJS26M7bNnVnPaSyW7e1C2Ac5utqsq3PJsYGc5Wbu7Xs
sjucPpgjsEIotSkZc4/8cEmVcC2i977RKWfOvutxOvWdzPoDK5YcTh2Yyo1jGMvWNVMnDiK+jnWW
zHDCis60Q9l0/mBsCfE4A/UCtCBchkJx5u+agHLtITSmYjN2Jj6rPhtY5pdpSFoduOnwxEwkgCrY
4h24tgpSp1tJ4KVLMqNmotjNAV3B8wpknhtzSNXj6ESDnfhi2oOsl3XiIISzIJ+172R2+mL+ltVM
8XEaLN3l1COvMQ1aYDWTw+3SeDUslEU91dGubencSvAiwcJnL46XQxSqj07d2tBoM9Z51CdgePUO
yxiQcJjgy4YAR8k8JfXEpqWYuTu1wi84uvLGtnrwCrxyrUPnAtpB9ionIWnRmxw6pTU/FQ9KHS30
2GAzgOCppLxOR7tU++gsDJ40JGPx6NBOLS8iNRcHamHDq2AdLYyccHurRPG8FMeoSpn2sTMXD6Y/
Ua+tUBfj0mUStm3ol8CiLIvI3bJCdlu/sSy67qb0OFvZ8lxbrseNqBfGaQDjJvqKQCUF+9mpcWRY
zACwBUfY8TbBqPALmE3T3WATrh4m387E3iOF1h4iRi3gzkKI9UcGYkUixJxArLb2UF1T/6KcCBRj
t/BKfzs1qe4TmG+A1vuu6kzsunougAMv21ZOtA7A5bq0wzT2ib6bY3gRtKN56PWEEddvl+yEKWt5
Exlj3H2fm8vFUIC+Triix70Xyo/QE8eOEgstmIW0/sKF7+1Sx9+bqr63jeYCqWs3CuyVyn7K8+IT
xf/QmwY2A/tkLuGFKLpi0w886qym2gdiekPyOcp6TkZdfffb4Tls/GdW83vH44FmrK0VO96aGJWJ
ECTqJQaXExtnC/kE4XRq3xgX3nlTcYJttAvHD9UXb/kSfAzWctGD5z56fTiZB7w/7anqrF4el7aT
uDkojQw7mX9Tcx+Zl7McgOZ6JIJbGEKx2Q53OhjZhaupeinrgqsiGw1QVFydJcBfnEHR5Cc8HgoP
mrLKPf82x5gN4nb0sxi3MCTcrsUr84Djx/8mDS6wBJvWkh+pPOHv1DM2/thgoyYe4aO91yJb7kWQ
qx8T7pvgwusEG+B5MEAK9bl8Zlwyf3Tu4Mk416vgfNdx721m3nd+mKeywhfqtKV5iCxqI+J57Ysm
UcrRz260lsE2n1q3TCpLryfFe6ZwPSy1fbFEiyEOEgDUTD0F2V70ccrE9oHRbNnzXgwr6/CG/SRJ
H9JUo4LGzOh3tzAPVwnNW9l3u81TDA6egzwgZVZnV0ZumRB7/YVzaT9FY0ApmWl+ihKZGRXTsvJH
han1OLK2Giertoi8S55p5X96Q/6/Dvavr0YBND9+/vf/ZhMNI+T2f6WD/VkA+/n3/pcAZsNvOBNx
bDI5roeV5d8CmG/9AbUJ0YmotHkOpeBp+B8CWPDHmXZJMu3c5w0V5Rf9ywr/QKemCpaIsI9JxrX+
if4V/Owh+5P85dv4B8FTQbbDsXKW4X71kDiaAAiGmzBeQ8SX/UQ7DTjmKBtuYQZ7/sE2sZFvFr1m
ryPijrlh2IwVPcLjvyQruHR8ckuTr0nYtEaYTL2Znxq8+m0yBxNwsDR1iu9zZ9d+Ag52LfckO7Dv
YvzR3sVkyyoH2LCqI/M0p97SVjl8SIfepI07MQ08+iztD6zrzbeBk912GOgcI7VQp++M/fIDjHnr
rVRZ9Eian2dM6M+2BKtchYo9i/aONFwFGIynxdlhjB4532P3sOOumYzXoZqiQ8SDC6vwfCbbkNTv
X1Or0w/ZPLY/7NAYvi1dSRKk7ha4/YpA1m29sABziozKq27NsA9HvhrpH0l7yfnAilpOpLI0znN1
pzuCFzZ/pGQ+NMuI2dwFaUTNziIXKtjL1GVN1BmbBADRtn9LNxMRAGEwFU48sVSMnJxJ4KTH4wDw
3m8WoN1d1yUl3OAHYfd5vVeQeaa4LVnms2J0n6MZCsVW92YlLrxBTz4YXs0ccDYW72jIYLmZySn3
u6Cblqd+icoXSnkmRJoly+5lYOlnoUY4QKz903sUccLeDHCkbryopuoxaz3KO2iQJ9cwK58/5FTU
d4xEFE5+YzWzp8qdZJ4MsnTpR7aH6B4tKjDZqDlVQEJlsl1CCv4qY2dgThfn5WDwXQU6f8BVUv+Q
Vj7qWKAyYZ4qDYefakTDjxx7OE0tTjddSywzEqJzwXMyIkr0bmUSczXBqq7eKdmpGy6CSO6KMSOh
Ck18xFVP3QEmTi3xJ3bhmVwzqVZYqIg5eSa2IQpCDyaFDpN1kd1EXtu5u74QICd7P19whDd2jQqb
1kGMWNwt24Vew/vGyu3niJzoWxXZ2C0C7DKY2vmO6IDvC+d8E4wZhnA3nbC+ypzAE7ul6GqYRbvG
Lfvdz0nXo5ekqrfE1vNk73MonyXIavZVB7/WSl8KixjRJrPzSe3mLujRSesGH8ngRJxoeIz6+T7F
1PHl11L4W2W37gf0+/C+hGbzQNPB9Eo0pQ3iPuutK3AkjPbc/Mu1Oh7E7ngjwqIQ1D5woKy6NrH7
Lsy3s1vK56GuGXhprKAh7abFQt5lWfoHdynyEppqXRU4Ltv0laqd4lkOw3zSmfUo2F0SBwmbF+rG
otu80BLlE8/gHZun/nsGa56FgcIEbhLLFLeGQ8wDiP04huQKXNIFnAVJAPP9kztqWSLfh7LhrnMI
6WK6HcOSUJeFGsDkLO8+K1MQIMoMKzrlIqUMq+tnk80bW4ZqXwVpGm5S4QU3tsOom06LBnMu6ZtU
7HWQI5qSq6m5ljpB9bCZhfyslfAKXE4KZfm5DLzwQWfnvo2q9Mxj20fLUxtMqTiYdh/uc0TWO3cM
JTAp+KUbuZg9o9/QKup4WUDr9vwbKxF1J4vdJI3owcwRChJOmt3XatKBTTy8taI4SO31I7BSfRkV
86y2pq+bZ9qJqzRpgWpU34x5DbhW3Nx7h1hq5ftQonswFKNEZEcUw3TpDw2VecB9I5pjEa6K3Z7N
xD794TrFLBgpMz1T1LyZKmBLfF2uCMzjJYVjmVcneVNhVYRUaGJRD5NMVlSo4MQgKrCAE3zhVF0t
uA3TNEtsInC4/iJP9JdmUKTLZjXT6Fi7c8Dk97ySxX5Up5/2zDEr7sOlsncl9ScYwdexIz9U5dq9
9Gl2GOPFZLVLpq4J6SRxce5rLO8lTk3jXHvllyCJ0floJpGrOe/xRmjCeHoKOJm7efO0RqAKWNnD
sdpKpucMKiuCXRwmhteQYU2wmRjyE2cyh/7ZMjB3xyGjj6+R5FsZO11Q2/HsDMF4akK3PetAuixB
T/qYEWhFa+XOXUovO1WVlRHRItjRUeRp+caGgIF2QT04gUjqFLQHA2OBoW9oZ7vYehQbPmiDA0Vi
K8ucjsvgEB3IrKZ5WR2g1hcA1ah3yymEwHMQ9GoT0C2vEpf2uWEf1LIn11OUnUpqTpT4mq2WCCAx
nqGKW/Q8wlO2j/4q+HhkbASVQ4USJz/Op4Ee7+pKnd+1Y3c0jOhe+rsg4C1sKqvBSpAtDm1qdBXI
ftuourYwyHmtySehnRfQCAMUdZku13Nfp1YC29jIN+sAzWXj0JA9x0atVgLkHoUFYxcqlxYyPqCt
6+nUApqVgbUn/tPqYqmJt2LdMvLLlRQW8a25UUfRlgSy+tVnSJ+W9tnVEjF32hLzwr4/FEHbJ4E/
Zp/CmEh/ta1DickwjizJUJ/4b3Tc6o7rRL/3toXg3w75M5j/+r6eSUjt2Blnd94SMQ6x6KX+YqgS
hJveTtEqHIvnNnVvjNQNllhMD+OQ5hvFyIWpkkzFc0pecNicFxAWIFfbjDgb0j9MztV0P7v2Gu25
5u3bcJpIGhEBrprdTIKA1Wm1vQsrF/OwFzOgmrjyeutWeNSp2C2Rro23UFyRhB0BTpqdKLIwhEUR
RRdQCMErJy1kDANqpDl554jiKJhID/7Uv/Ck5bt2eR72mzXFUojVXoVXog+pyiBwJb6bwiFgIvTP
sFJXU9KCMyu8llowyYNtXF/VLdSXEe99ypNwMafhMTfs8slfXAcT+rwWh9Fv0u8NeOeGcbBlX7eL
S3JMm16/D3tSNPHSLOp6nVW7xKr18F3KpmWP1addhivbajRfTVvXL01oyS/KaZwvl18XbdI2xCWV
4hO+qQT7DmeeoudVD4uLvJOpZ1Dq4Q8ZRt2PwCisk7a90NhVBLXPK0NmXhfNGF7SHt49SCMn8ETR
djUACBVInWvG0X9gm8u0rHTar1C2/Y+JcxKGLj1YNFKSGXsv2pL7wVwLugSthquCiF1Kb0lf+3yC
ypRG+332VXBRW5RqbJUB/eE/2DuT5MiR7YruRXOUAXC0A00CEUEy2CT7bgLLhglHD0cP7EYL0Cq0
MR1EVklkJEVaavwnv7GyLGSgcX/+3r3n8kUW7mPUqKxjglM335xBb+3jaE7zJ4/h8sVQ1iVTLMui
K5kbtfXd8DVGhk3m02aiAW+KjYcR6JZgMsaWdsXAjO3bcO9GSQLsynZau7rnH+qnEcgedzUyhbqw
KrevAsdcYvqcSSt+RqxMjJHaavQvtC4x5FeO/tNOgZSd1+48JeTTwGfV1k1JoYVrZ5nFV0ZjGiug
lTDyC9rwP9JRUKxhb8h2lZ0Z2G5CnMqNWYnLSnq4/+CnWS+zRdthhd5y+GYWCqpSkibOad/YHTAT
v4zvh6liieHgbJ8DhcPGN8I53LgQR+Wm05esnKyvLPLs0oITvj374alGB6WjazZqt1ZTqxsLOVgS
gM3JqyOQhfFZip/3qUYk/8hKXF7giR3FcUKvZUtXs10iRTOV0qadMIzgz8MJXKJotbOEfJtwLrN+
R7fPMc11GdJvTtdYQIhsO9Hrwq+8B8ZQXhHAsxx/MvVJn0Y6sQh/qZyaoNbQMwedVre0X9mZRkyA
6SJAGyWfm562OI6iovfO6XJjJmpoIg7n+JDI2CzGRSeURksoTY+JCpuCWxKsxMIqeWlZj7fegBR7
m3SifiwTE8NRsbxxbmrhZtrH0+DVWswvZRifJl7C6ujiFuWcwr8N4UJDJ4CwEIJ2CrfXTt1KZ+Vz
QTZ9taRF0owwuXSdNsQ8RVjFvS81LXOY6bkkcIi/WRqhMJCCYCxnMobjuhaMLFFVjQ9UZvnXHERc
tW3w31xreRXSJqsJ37L0IXyQucVWYXaR76OpEFWyRi7WEPGGMFOjCcG4JjD6MnMDMjvzGyxZ0gqw
+5mcoyLRNhsiWMTTSGglAjU1EybneU0zHQlaIucD1CnGlA1DKJiOXS3XWajSp6nSaz1YzBwZ3v9l
9CLnPn1qUIuSjqUG4KfCTvlhdDbpPw4VDb1gsE3jMvQHy9u2c+h7ayWl/QzSvh6OBEOY9LyOG+dK
hD7FZJIgbCvs3Llgn9W/TMwMbxevea0ow/GDZ6jzQj8hH0AvO249VAYOQ4xrCdlY9s4fuYMPiq0O
I7rfRvJFjqZ+W+D56MjxIWeFZdvqf7A1e/TR1OxeNRVN7WCUnfUdT4qUQckX8n2oqOORkcZWterd
ZNLPI3eIr8ne66iEu5juXc7J8EgjB1IGXkH04Qn9qXkbVS4d45gIMWNTVPqAg9mxO8Yy0Tx7p1jQ
XH3rMW2TrNmaS0hYGetfSNGCH1kskgKn92drbUfxSLFhDXxTqiYbaRWjqnxoW47SKwPHuVgrUgYZ
kBviGTMpLk9MFhq0sL6PnmIoFS5PT1cNGalqrHdMyTsUPKXLYkRQ1LOPyUYjWgu05cqaPDC5DTD2
+nSME87RhGYC4chh3HKw4nDYohjFGbZOsZ0O3HKcX/06HqA7BniUHDqUXbOkJdGGy9a6msvpCDw1
gUqNsNhYZsnHRXe2EKcj3X9t589s4as2nen+xs5Ijq/h9jxeGI3JqVXksmP5n80zQvKwv2emLU61
zgXTXeL7/5p5yFUYejc9Gqk4nouTlJv2tz7+Xz201z00G1b4Rz20y6/1f/3Hm+7Zrz/xDx3HQest
8KHptoHviKSd/+meIR/H9GFCcRG6gwXEoUX2d/fM/IsDIU043bIIprG8hSD/DxzH/8ujR2NAfLL5
74WpesDC+QM2DvHtFK14LhyMUZD/3QOEWU8EV7SMzZGXIZKaWjQXREW0m1d35B0/2YGR4tdVBF1E
C+4lLoeDBl0ZNvhyBd5MwrWgQXTYB+tizJ6xuap1nPraJxktB9Ynrgdfjrvn6QtDiMPd24ZgZnDE
9EevXnW1TxYfBA/g172x+vhXvXcVYeNWWbJVeUwHv8roPAzcOvsrBzjzAd51fkJtM39ikPv93tk6
EEAbJwrOEPsQeFWTliBbl3J5TC3pBtJHnUYUjG3D+/AnolsNhqe3H/+yA//fcv8Y7oG10z2yEn7D
evqY2aucCHG0gYWJnVsRc40sBiqb53zy8965FBQvTBJ8Ggv//8D1wvBaL5GGcSnqrRVr1LytCE1k
ZJtnn6DD3rmTDn4MuEncRh7bwVthV07haUWOpjZukhPSvJ1jx07aM9J1/C9DXbq/KGJvOFSvXZTv
vB9vrsc3/LotPbWINDGgEt9WGIgBciOstE3SO/En13nvFlIf4Ic3+Xl4G99eB1HYPMWlrQCDK9kH
STIn07qNu/mZWFT1ycXeu4n7iDIdPwXu44OL4cp0OKrBWIomM113fW1eSAe2s215E0oTVFZ//Cou
8wOXOcNinXSWm/zKH9pbHVrUGFGbkXUI8fwEe3/LESMC//nn37ODYVeQcECkjWv+dqlYG0l941JS
z6EBh/Y2btrokxd+uUGvhhXLt/XmKsvTfP2DZreqG0SLnCnKLxJk0pGXTuoeZKF1tvQr79EjPf75
PXz9w5Zn+uqShmbbqTZSNE+01NetmTkXTYKd2yek8/bjSy336LdfZ+DwAAAo8FEdfM5MSiVMLPRQ
FV6Py7SskB96hfizTJJf95CXnY8ZzbV7aJUL7dBS0qfzUTY5HdWxdLZxXzpHH/+W9151RI9szMtu
6/vs3K9vW+27iIqVQ3+lJsYm8Pws3WVOHv7Mq0be+qxX7Scf13tfMreO5dDn38ib+PaKiSYBfDqg
HJn5O0dZ3z0x0v5mKs4zH/+09x4TASg6HGoHI9ShYQyzp4wGOvUrGYLdGfLGW6Pcaj/5oA6J4jwn
9EJLAg5DQDYScUDclJoXd5ld0E4WtYCxDwHMpi29Yf4TUcqXYlU59lEYpik5Au1AeG3PFGTWLfnJ
KvL778U3bDm6aeJnX16ftzeWI53e9z27jIG7xEEabsnmRIou/4zybyyL+tsPgCtR8OkmsTw2prK3
VxqbyJPGSOOC0V6603FubZWqxG3Z1+eRo427mhyYDZx6A0luB3JtSjn9u0FrtP5JN2nqk1Lo9+Vm
cSDyRfpgUXSCDt7+fcDQEDbcj2iAdI7xSLj8nBzddogwnumRCdGt7p3rpmvzz2Dn714ZWyLVK5Z7
Coq3V576yp8jxaozSJyJXZTRoMYdRXJFRN/lqUwGtf7Tt5rf+uqKBx/sZAoOwAZ7E4oO0Ihlkgac
RYs/fpe4Cg+YG+e4IC0PruLRTBNUlKimJ7pvGlPkoLcwY338W35ffLiKg+8UdAVyXvtgKShKM0wb
l9ivFMTWNW1HtRFLCJneZQjh43refny9954Wr+xy5rD5TvYW01d7BImmM/G7bEtOMlhkyStPOzVD
4CX4pJpzs5/8do31s/ksQO6z63pv3xKa46NSpaVWNGvr02QoyxMCw+fzhGbWKWAUeshpYnyy/L13
c5dqE1onBby1oEdfr+xjBfcPFw43F1zSIzHbY7eBL4mutfDJdJdE9D18fHt/X9l9m88Q9LBFZY3l
/+0VOxENhd1EqIvCplg7SgEeyoF/aQVejY8v9ftaRylNBQOWHxSpfRg+xcx6TgeHnsw0MEvS0xk7
FD6gT4rp966yxA1yBPXQfliH60pkOs3osH4wyQkRYsVQmAjkrefpz5+V/fpCB0t3MTEosUyEx5pb
0QxLmXvDBrhC2bcYaD4L/ltet7fL93KuJgKPtwNj7x7r8uoz4DvGXydn5rYY73bS0/IjJtz6rsxt
b1O5DrOwAb3WKp9QW3zyyb/zKYCWBxhDfc2BXBx8CoDU0Ja07P6z1vo3mbLNLwZ9tqAybcXA1pkT
MkfDz4J+3nkzIeRwUKbCJvjDNN++mZxJnFYY9OBsA29eJXzC440EWbaOfvLjN/O9H7g/KyO6IVvo
EBHtVc3UWFFFQSXL/tTpVHeC0djexZZvHreh2zK7VzAnP77qO4+UFgd9BwoRwr4PEwkQyJlz23JV
0dFqxWAHl2+Iy2Znl6K7GJfI8sLDGqXwbn5y6d8+kmXTpY4zmdcuCqWDJ0q2eFEpxYoSIShcmXoh
tvRi+vOPf+BvT5Cr2AueYglqAqFzsLbUIRORYeadneMW8kqzgCo44mbHTIWLT7JF3vtFrC6Un+Cc
ueDBtVJ01bFdtdjjYA0i/+60+bnXTDro/4/fRDALj4zOACfAt29lPCeVNzDJ4K1Mp3VTTdYpXnjk
oGPXfLLzvXf7XN5/BNH7jfbgUu0iNmLWx6UUomjaHtq6mqcnJkzT8cc/6r2bRy3EJ2AsrJfDPVbl
HjISE9V8ben4PTVqXTlItfnjqyzbDJ8XN09f4BJvNrcmcqWvFl1DZjN90Z1mITVgD/j4Ku/cNQrq
pZ/HNYhxOFg2JgO1ftIgth3snuKShWqDwz65ClU0P/0/LrUsF769kJPs5a/yak12TSC9WpRWRKN3
4bZN2yZI0ZQFtEQ+wWu/84AgdvzvlQ7qAtg7KmQOCebU6e8x3YgNpuDqk/dt+Ze82WKYLNCe5DKI
JgnJPrhzBiaPvCQCA/1dCTk7GRW4haE88XF8QZ4bxvHo4/tnLP/G366IepOwM2SXkK/e3sBZZUlG
oBKoisjnBiJPW49FAWjX7zGdSDuUOEz6aINg2T8qdGX+1CZt19hFtZVi+ENSOm1Mfj+4FFrh9GdB
q7z920QFbD8v5M1BJo16u9KSDS2Cl49/83tPEs2qCXyV06d9eJOdRQbQVIB4R/DhzPuHBElyA8X4
D2Pk9r+G4AraRgQ9LDSYt78mtFJCZCdeziLBd0bsmrPSB21LQO8xJMnpk6/uvZ/lEX7geyCSSLI4
WKu6sSHfsC/xj7Z2eJr2kzqpWEXXf37zPBoeCG/Yt5zDxrabIc+bIlbEpMnrs7KTOexeEf9pBUlW
G/MNMg05dtDMObhzGBi0FGLMUqe68iLDHovJi5nfH/8WrkKvkl2Lw9RhS8Wbe63Vlnc/jQXSkWnE
sx0W3idr7u+djuXHgEGzkSATn7JvC7xaoxCDIiPJXaLnujA+0yZPbA2VweO0/ZWj9xfeYF9DSAs3
SrrhKf3uneNX1Sf7y2/1FX8JAhPJIbCXiOPDQgCAWMc8F3fx7PSmsWlH2RSXaJT1/szuBiwF4+Bn
8QmyewSsH9/mdxY1inSPUQvRH5RZB5uORqyZ3uU+2Ng8ESmAMmdaD1V8Jiy4tQiT+M+PL/jOl8Dm
w+qxJBdx0w+/BNMdc8R6rGmLlHloBHLgfP7sS/h9lzN4pHTIeIMWBfxBuUPPORprl8fqyDjCt+qW
J1MxuyeMbD8LA/z9DnIpj9gLXN3ID6yDXY61Ege1zR0sUxtt1VQuIQf6LI07H9n4DznkQ/jJd778
7d/uC0tYPMdf+ICMKA/5ZjJV9hgpQSxxkWtry1f2veqG+Zvq3GxtGIX5jTbICDZFlMd5bTbPHz/C
319XQnIoDIj8AaHFBPLt0pkXSo96ROornVjfdYbrMKvdZ7ugQaX8Il911mdV5e8vzXJFDq1M0+iy
Hp77myFOYtPADAYrcBFWdN0xn8pnqYLvvDS2zjx3KcL2ZK63v6uewdagdClRcIYKQkY6tYEfGvKW
PC+RfPIdePvzy+unSHPNY7TMmJiCh4Cjg9to9ESlN2IivzC3Mu24Y7l+wWWjLVqhpLkZUbQaq9E3
J38zjd5UnZkTYqkjynvIUEzKSuIWkOOh+eb7yVdSS8wzZn9aj+LARd1QFE3Zn0CfytIjINVhvRs8
LHZbTzRTeTwUTQW+O0lDseOlnqJdOAxNdjKn0ijXbmtE8hhrn7SPl2FSd9QovysupZU1GAvSMHW3
RgrIJ/DAx3vrUYXGU8XmkwZ1Rspz0AykMqAR7NEBpk4h2musb1hRXa/B3tEgQsvWXhlFBm47MEbh
qTeEpTj28nScFhdcogXsAOmPHFJ8FJiDS62j42+cdxbafzAUqkc+q3iaGN9Y2vq126QtfKxmUU8l
JiDqyBtRMjpN1EP+DjOOBxN97Rj8RFnXGPv6pD5eQPLjESrrKCJ0CaliUJvoK1dD11ED6Lqr439z
IIfwV4CVdCRjuBRrfxDgfsvISV8AoiM0mnMYhl1FJbe2ZG7oqwYdB77bcB7yI8ZjJo8Q5Qjok6GM
gZvrvtUHmqSRse1pDAKE6v042nXu6NrUsMMSJgEjFvpLl+Y9XKdZA88Z1ZEH6KjKjYDQBcfZLAJm
4hgcQXqTybdfbrq+jIkxyfMaB/lq9gRi97ngdq5mQxJNZ+XR0j2zJ6AAkQZDMUAPEzVEs4yxS6wJ
Wh0C1+oiwdDbIPT1kPT1xypz1C3+QShaoohJgDBKYxjAA0Vtv+YAHZ90w6hNZ4WitbRuwNihHS0m
FL6+V8QPsdL783ywWvzXSTZP25jQHRrYGWLP1s8Bs5dl3OXrxBRhs2BLrF2ClP6nq6b6bkqz/qec
kaNj6p1JK0fl6eLkTX2IYtBN1KZFGfkd5yo+Stqy2bNjT5zcy8L0L+bUKC9SUlDE0VQLkLHSavMs
QOqH9ihj2+cgZ3vFbjYJw4Sj7MqnjlohAjM/uN8mL8keBwyHSLND+xJ+aTutpMMzXCF0HzkC4BFA
cW8MlxYd1nLtGWFdr7APJPdp6bvTOrMr/xngQT8HBbwgUilbx/kCjxvLYem0yRUJTBM2zAlACgoh
2062le81xaace8wYduigN+vzNl4yS1z5dQTa9dOeex32BVCXs7DviHeu5Zjgr0hceC+DgJm+tQ0F
y4CXA+9L6wBQQS5dHGGlKeRNb0CYXblJY8a4AwlTWTGrFT9jP6dlhVAfaa9Wqg7Oh7sg2fBoNNeZ
N+l8zYZmXjl2pB5igUxx1RFjjPLeMPJqoyKMAGucvtAU9ESLzDVfSgZQA1XdmdCi4rJoPafaxLqG
rF9LNOMcdLv+Ahkd85Oa67p+dCA2jl+pxO0cym/SRlvSn+Jhp+W5qs40O/WRMadxps6MpLTDS2UR
mXwW6W31OFvGJO+jwlfwt1qQ0jemKvJ+yxPy3CuFXNU8tsIqJYRULwZn18Za3WOZyWEJZLoTzqdF
b5rjWuFA63Z16dvDGsgobHIsHfw+7CBOZJyw6Yz1Ua3PkbNNlSvDI6XlIUrIcCAEActouNYFvKSt
m0HMCxoEkkyK0Lv53zpEvzjp2R+16Dg0oDRcEYVsWjstoVrf+qGFe2Ycu2I+8WFOVZfSZeLzuLwI
4iW2enxCPJfaTKKVXg36eJVSIBYPeC3S5KaYUDnu2AEs+vzWGGbpfRjhxQAY4uOgInYnYXODoGHX
0Wgcj+VQhUCSBi+pf4adF2XXs21l4pRkF+CDq0GPWTmVnSbp5eR5JAWXXp8OXxBlinA7EPYRITV0
EMlHveBHlaaVQUqxono0z5uwrgrMtznadBg7lXNFaAB6OX4tCzHFiumvlFlWPqpVWVDbJm35YKWw
YbaTIH7oPu2iSIHS2EvI6e3RbJRR2p1DSu7Mm5HTh4neH/i0d1anei+2GVUgMSyWn9dfZq9h8Nun
uTZuKi8OSSLgzqmg48h0Gwl3/KK7Q3UjQnBnNE1J1l2VeeN8d4yGymUIbdqoCz8WnxxCgqdZzHAt
IyAFV37r1tOKQh67B1+gWZwRG9kba434sDzIbUO7TGjtaygJO5ABU2ziLVtS6x+kxoxw0y5Hvw1B
W9FFpqnkQtJi1KEVlMlj7mYhCaUY215G/vQcGAhE6dA7RFUEoxVGKWcRhfjKWsS3NFqy+nxuXBzh
/cR5ORBuxQyYvbojd0Ib/S9TghnwpNAM77rMzEjfQdDrCD3Q/emL3RMzvCRdsUi7Vdp7O8xhsACn
Jil+WEUaggwsCvUjmSLrCxlYBjpL/GDOuuxn21zZQ5nfy8J0KhITVPmY1UmntvBLy5tSs2OxIkCx
ZCrkR9ml4U4jnIsO9CY6pLkhsDs2wjlwEzMvA7ft0heEJ3IKkszrB0q6snWCuIEe92xnVYMkeorU
hR8WOBdMLe5GLDeui8yVgvCOwy7qWEgk5g0wCehCqdxTXPwozUDZmBDDRAr+iSCEsSETU0XPaLNJ
p2dRmU+deaqeLA4+pIvl5GYFYsrqp9kztHvc/S764FkA2gjtuf3RG63A7KHGH0OVyu+0QDAWCgih
eEVjKxhkpP0U7dBd0tTIvrU9yzhIGBsqRjVrw/dJ9P53X0NMfcQji59guc3f6qFMd1AgDbRTltf8
8Oex/M7wRxIJM5nE2VP2gIpO7BiWILArhcV/9IcjnTCV+ziapLHkLuAXGptS0zZpXHrQGsWQ8ZK0
6Es30vOQzJuhcLWjIumS23gobQuFf2l/a1q7i7ZFIiJcCJ0PulgTA1WL1yksTiaVr7tmvgWmOwyd
4djyY1MGEsAfXDw9SmERzWQpoMpNYJKxX2X+CgvXlG8YCGb986BPGY6gmGww0KyTMxiXkiEGDzGc
PAJ1kiapvoA4l4DUp7TsgzYMAQ5lJMC7a8xpSGQdH+POykpcqh+n6Myv6P3z00iUhEq5bgN+aTZx
0R3hiRNyZc5x8qzwcQ5rQf8cPC3joK1tY/vfZHme4rmNPAK/rIz/KYCpEycSO/2zSIzovsYMEB5b
ERgVPpBwOM26cXgA/uiXgW9k1Zc0czwJSihBHMBq6rRbUTY6Zzw8+P6qnBvMKLInNw9tsQGOTjJ3
sjdzl1fXdtLpq2R2pHeVpxGez8HRknaVjy6GTTIZnMtO48ac2G5U0b2OhB8FlpG4T2OESw8Mi2ZX
F/jOzOOS6Cn7pBTZGPLHNYvEDbcz0Pxz4iLWC2wXRh2Ck7It2572BWdW2K1dOTQ7A2qmhR3IWehG
5M+uhDmW0I7gWTzJSLnGWqQwdOG95QjdO599d+24MUVQWBTuKYlRLg4IGoswQ3U5ZkGCqPFra5E9
se392pxXspEzEyC/SF8mWwGTolCMrsSou18tzSA1CYFpOKxBuzePcxtZeFAKW2+3iYxjwSkgbS+g
40WPgyl9Co450m/ylPWYLWNiqSLlo7cDNRclL5tdq3CFn8O+l6N01Rqer31We0V6VYQICANJztH1
7EZUv5WmxtOxD/kL9VmUpKgnWvnQz5UP/6S0gFyiIfJR0MoxvpyUaT6P8Yg8YByxWbW6iFi+8WPG
QRH2kCqG2bDualOfnomSRvmdur3AJuNr+H4A1ZH8EXbLmjoKohwDs/f1s9FzlIy/g3Wr0BpQnMpV
MXngXi2rYXecuxDMEMbB6EeBuRG/hvRMaEM8IH9rOQVAvbTPhmzNncyvORyr7ynuCFr3JZyX7VQ5
TXPsuxlgFMcrEnBVXSKoWOo6m7ZwehlTOM1kXs96H3F8mMbO27qgW0/4We3PzBTqwZiN/MtUJliT
5tYtX/RCn795jYuHGNmeRQqjdB2YPkkVbUoa0HyNJuoGtvHRijZNXPtXBvatW7OdWRyoNGJrjXTS
vq2JUboP28QgHweIxpU+NWD2RFjmx35b59k5UNiwDrqq1y6qlFMsZCsjPpky34uO08nh3JlMFcUk
RhjdCeAGGrtQoFhc5bO1vBpe61wOcnTvIH4INzDJZHnp9WS46crWf4ApLyXjmqY/XUJ6iOwqLPfG
jKvxp5MumTppGzpXPbX7+TSMC+TP5HPtTG2Ugc5Z6A43BQq1lGHA1bjP+YoBqr7MspmvexAlDQjf
cHpAb9uKwDfT/iYjoeLZzP1hXHt63J94c1h7O3bAySN2KzUhinBoLI8arWTbmquEpWhuUxhrXhFi
yDdxN90mc5qoY9jL9KXbChkqTlU/wUUbx70Hs7ILH8NpVNeRRb4geuweV/6EOHdipzHDMPCcupih
F5hgTJdefh14fCoR72cybrNa+s+mX8RYR+Uk2uNRxv4ZUrBKfsvwRjtbWJtLk8DLimuEyiiN0ibG
DkS3DiBuDa122HiK/vMGiY1vdwz0mXz4U+Ax6e/nLgBqQMwD4p2UcvxEhW74g3I4Gc61uevq4xGf
VX0kNMdWN9TTvs6gs02cLUpRy8RzriNnB0QoSXcgCOuhG7qU7oCPjgaTrqT1CTYQC6uxt7NyHMfa
ai0uVwzcGF552TC/ZnsjrM8rkayzvUFWTxez7Lw3zqZ7Ey1tfwy1xd5c2zhl4ZxiW2IrRRlrd2fm
3pLblSGoPndx6up7065NlNtDt7fypjn5rszCcfhSaae30xBh+433FuDCrakPiTbO7529SVglzbSk
zC3mYZJlKJOnvanYQv34POytxu7edtwtDmRypuaMiMvFmGzsTcr+3rCc7M3Lam9k7hK3VwFMhPAH
hGWsztkv23NShCfz3gzt743Rxi+TtAFKLOAILnA2Lz7qxuwwepUx0wI2GPZzvNZ/W69lY8zCUwE4
qr1PWyPzMW3ugH9h6N73EP9lQXljQUFs9qq1uv7afv37H198zV/+/d+woHz9r//89vWtC2X/h/52
oQjrL4ZUTEEIs6BVuJhG/mG4CO8vMrvhqNG7pw9FWsz/uFA0vCtwMV2mlMhREaUsY/im7Fr57/+m
eX8JHanKoqdn4oASzv8TH4rYp6+/amMi8bAIUABSjzjER6G/9G5fTVDSkHeuyFSGBETW95WRJc+1
0UW3VjdgfvfTVmtPsD+H92WlOz+iLJpuczOhwhZV2J5G1Vj+dKsi2s1VK5utnrjGxP5osPnpkJTJ
Iw1DCKpThf56laJyyYJ+ND26JV166WljZ61l6Y90NKo6/jYWJS3IocPcjFO7LuWmDY0cROcUqieE
atFTw1mOo6ebmSxfdPzwSIuwwyNGEuGwDkWa4ao1cVMW3f4QjL8xY//TaN55ZbPA/xNJF7If3eIO
bFwHOtPxgA0OAETvyD5MIHGkuq2vRN/p12KeMAdnsFaWEOFZXkwLvGXtjrH5rPOpq2NGv9Qq0tKy
yymLh3rbhGHhbGZzNI8V4ceYEVFqIT0o6q5gHNWqGz00PAawOMO/+17uP1Akqht4+AKHcz5jf59a
A1Kx5dXWDXMYaz5SuZ7SlBygx65yQkbJ0UtT58QxuvnS1MvhKTdVhbG7UM45iLb4K6d0lEVCDyfo
0eil5a5qSuuOtMcpXisX7AeUvrYZYMOlRAEKN081xkUe1D2OLTQPEr/KL/S2cOmWRiElTDHrG/xE
E1bpzLGeYruTGreb4GJYq342B0ibSdByDLxFQTirkWNoFHM80qzCuC0tlCUrlwMLxNAW2nkHcE1f
ZfMIcicaos67r+gmw6qLzPInBEglj5NaM0DcF7rzyPSt7U7MaMif0qztBAK02D/BsDhGQT9P4YND
aBYZb5qRkpfJmJtKHwe3e+RqHIvXXmQmvHZZCPojLGxq/JIa0OCoOoYPsGuIHCI2MxIBp1btzm2b
+IomiAVboo41giWbETBP3dgc1Zs2b1wAGEtZPKWaddT5YXVaTGOsbWo9jblJczNqFNlueo0GWNEM
iCZHO51Kj2ZjBU7TXrUiiesTZYiSuWQNvQichzWculYhQ9rQo/sNG+MsjywxE7/oVH0F3jrKFHzV
bCGJwpjIH4ysHB7GyBaXqNdlvsILjhWzb5r2nFNn+Oh6xfSzIriWNLw6z92ND07JDtCYUY8lJmEj
7EFtc8dDAg45VgOQm1lNsFgZUGTVdon1ftYyrM0AA4b0LpuxQK1mN81uKIR6tbYJaXyhB22a275u
+suwDVv+fwS+1o+7xt46lAQAFzTDvIRvJ9tthdz/UuTx+IjRH8pj5+tMoXw06uKEEmRoUWkiPd3I
NiKxz+7ABvH6uFG7Vtkw7bQmpaAY4H2Q80vbwmRmUgBr8mLXuByA7H5vCjl+FznJkevIabXvKofr
kOM610e6XUh6YxAYGgXotdnUw5VBJxClggnR/yjNaFIGdIFAvuu+P4ug9jntr+fatMuNmQ0SF3Hh
T+26Jn/vavR792dD8glgEVm434o+VSWG2bSK1x2H0XiViRzMDmY1D1iC3UYxPyjPxart9fZ0GvKa
hMYiFORwDHZdbUyHotqnslbrgmfxjOs8nYI8KcqdSjgZrWP67aTcJ+QCro2eqQ+dIjoqIy2fyxov
KwGJwLvvImv0WV2ZBXH6IFqBBjd92fSYHsC5HsbZEyEPxgVwAzzwLDkc57OSRwjcHlngCildfVmk
Glhbn8M6RLuSL6IYJhrC2agS6NZSJdlpY5rGlaNZ4qcF54MugTZPESEMuXMFMhNUY6mP7YDSXaQv
Jk2CH5oTMS4uM9HyQhsmcA8bYOG9O0Wxu+XoXpFg4/cjE+w+EdYRuynZd5ZgSrqG52KRfKOPcLj7
vGrBOQLf2GmuCk9F1iBIgveJzYHeRUKmDsRGXI6yJ+djBPb0OFrqNCSY1D7vItfXYYRoCUlfQqUx
VuzSggyFXG9aIRKYboGNuerEiozuopbMnHhFDfHQq5y+k0DiU+yk7mLJp81mb7MoJQ9LKKM+ifSO
vpsvwvFYUxHFHydh80VxErhYwNQ8BA3Q5rFU1XBs6zQEj1JiePiSY8eAAZ9BHrEb3X2pobxPTLKG
8I4sZUcGcUfsyZZbD0a6Lbqo2dqZJPE2r71621d6Yq8wgNOTq+nHXEwSU/+mzxJGRT6P9WqYW7oY
4zjm9BvUcNuyhN6bs1B8O4nRPtWgsHck6MBKdkZP0kyf+vLO7ytkk7UR5sg3UljeHGYc4zyCoyQ3
jd7FX11rDu8qZnJoHkj2/C6QddMcT6R1E6YW9y1u+v4rwRTaD+UOyIH+VX3W8ff2TSGJuo9a7P+G
CF7HS5bW1+LHy5KldVHW7cs7f/6fQlT8RUIViZLo4C04+Itu42+YIIWojZTcx2j1659grPgHJsif
QreG1hBFKHbYva3mn0LU+YtykZGOj8WNChLzzZ8UogeaCA6cAm8oB69FSAvN+0CdBhmTrNvGee4W
bHepXeHWzMFMlwYta5fA3go0PUDZXy/S/2kVPZBC/Loq91mnSge6tmSMvS5+tc5mADQ6z2O386V3
lvcbs+QQ6iTEAj6+ejiXvyrq165U01l+wttKW8cOZANKJAGJ7MHlL/Oq0jZ73U4RE7DslOUEBmNf
LhABlmibfqki1JDbR7qB7HJDakrrBs2+5JD78gOgrvS/+PuyhCie+KpNTe1u2Jct876EYf4dPlT7
wkbbFzk0uLIhaMY2zQJnXwiNNXvlkbkvkFxiWduNvS+cuqWGamnyRUG6VFbJvsgylnqrzMu+OwEi
4TyK0qSPXO6LM0qq8me5L9mGuh68+1EqoQIO35R1Fqk9V86+2Cv2hV+41IBAICgH4StQGpKFRZlo
7UvGfl8+YqYtGCwZHRqceqkwl64KSF5l6xvID/naA07iLNBZUqPNpUQ1vX5aAN+RwAALJpFVPwcN
vrEYGUJOjuCenkJ8cY2VLsjJhdJiTfZuIIP4VE9GMrZB8NAB9KGiX8SQqNieEnGB9pkqhzPHtVVF
j02kSQXJNyFjgQhe0ayFQ/vgv9k7s+TIkXNLb+VuAGWY4TDrp0AgRpLBmUm+wJgkE/PoABzAnnoV
vbH+QFWZqqolu633qyellBkMRgCOfzjnO8wmNQiCc5crsZFdFzE1jnr6AA1BFPR+UqRdAg8MZwoN
I4q7bSnmed41+tTJvWFTJlIYjFRjtWEM/f0iSm2P7L/WLnZSeJ9TSnwBgtC5H3YDzhhwgpCM4rO1
9mRHq/XIsLEXUf+oB5F9tWgTJzYdWeOGJsZgbG0VixEor5WXrEoGInp8eqltMWg+Tnkn7Uh7TBO1
M62uyi89genst3n+MAGKKub2VDQ86Y12yeo9y5aG6MnWqbKTxiyZOKnFTvuWXWeSVnftqDJGHcaY
fODhwY+c9XoT7SCkUqolbpnxEQKKPNTE1DD+5RIDC23zimbq5gxe57587+N+9Y71mXdDoFj2SP6u
8veppcwT/J2Fz3wUOrRHI81+setBHCDMuSKEZYgzUq1Zhw/h4EXW0W5FZmwwAslkD2Opf0zg6zo7
rx2HM7Vk76+fGitvBkXaVe+aWrYdAS4WINCXnnAdyES3raGadwpm0oZ4AON1Xsj3eB+tub+fWGw+
19OcfEAAGq767zJP40JbAfa4C4N4rQQHZw2WMF0iB1glrAWj8V08zt+FJLPokr/+XWAa86KmDWkO
FJ5E1JrOfpK48jfGWpsyW+zvi++ClZaH5s6c8ucWrBftIpUt2jit34pWTR/jd+XLuvW2yD3K4aZi
e7ZhlkqZ7MGwAVy2Vs8ZidXrexnpEuLvArtLZt8hw4gApI2TYNcC+47IFTS3TXGOSnj6AVnQux1Y
Ufe7Za3j8WoYGQX3Wt5H36W+6Q7917DW/4syDXOHqcv/8mB/wsx37PyBBRyInLHO8ydacZoJxVbk
lWDCvNlZOG3d0Ifu32PbXNuQAmriU/rdnNTfjcpUcL+y3IOkHpKVRzMzOtb8iwSniF1E2l87322P
tywx69+1G9LXvqhaO6Tlu1mKp4jGqQWIRxNlIhDdIpgEfwgywvvpfrdccu2+IOqXwHFqr4lC+d2g
MaWnWZsVcEQ6DWFrZ7adNHTp2tv9T0Hz94IGloCPPPXfFzS36fvwf/73n2uY3//JH0gX/TfL0wnu
NVnsoK1YM6t/r2Hs74mZAe8Kf4xuwJH6Zw1j/uYhs2SsTaAuPlzjT7M0QydjVOALXL3sq6fiP2K6
INL++xPeQIvMNM/wkDtivv7bE16CzvbdykbeUHA9Hxc7EjeLLJN625iQNWOsinmQT479VPopUUlA
fDn5nNyrES3OkfvUW7aEusauFpuFaLVipzGfuZBnAUhMX5MnI/S3xaaM4FwFBYoEe8c8xvzSKnSe
h3QyrDmwelhgpK478s4QEXFuY0XWJPM69Hew0CIddCrxFr8qPRdfAzOkRxIu4Ja3kExRfwonuW/g
dLEPFTyBGHzYS31gOav0jZmJvj0MM0VOOJuCrR25oz8NJ0s9mIi1fVOaPQdEHqX8c093NMmGn6g8
TVv8z97z1rwFUaMaWSQoU2LB+uWRoOYORVwRm+IwED3F6E7ERLenlT1vnL5yi1MyejjIlnosnBCE
vzufTbMAugjTDo2HnuTLBs1/3G57J3G/tEUlb6Mr+iicDMEaX3Fw54HB1IvuPV26l1k0QxRaWgdH
faGntIOE1Ikny4uqW2uuh+KgHBfUFSFyFBpSmdP9Cmg3ttXggW7Tp0yYASOx/CtjlvPggJaHU6BJ
OuhI17z1JCJILCB3JHnp1IgdSIqMaQD0VSCgFdcpLKpVUbBpptG5sBkc6aFV1H8WZUaUDUvxHPHg
Uk+PSWqDTBsMAM3QH2MTWDs1m9iQAmZdMjfOSStqIgIeTTe35Kab2jWd1CbHoifWKdqmFdkwu8Zc
uh/SaseGkM1WTw6DQ/zc3tZsMhU5Jo2K/a/l3LvoVGF0ti4PdUda5U3H4yq+WZmZci8iMfB8b7z4
EMesxE27KT50xJSfCl4mShcjid78UQO6qFXp8J5pwgVPK+tiCDQjSh+ceorZNmUc4eyiW/POqCVs
gJWwOblFVbFAneGAE+wx7plaNHuXGdldMy75pcWz/zTXS/LkNiVDMdRe+QeBslWyaTobg30hf0wq
o3YbhsYzyJgzjad5Xo1LUZ6qB+UbdbpheVxcmf3sclmiP7pI5aCOk/Q35oHrgCe2UB0yc8/E+rdJ
TL6izZD6MRs3nXXtRi+dbgoT/GRr7I1ZE8b2HViOmxj1UYWA7FIJqx2uq9KZTfilMmGFN5sKORLJ
odoZLMF0GIGee9eCHBN4i/mpH1yDa2oU2oM3JAlSQYjcFHTEUL67ZKldUqvLhxA5ZnlXGxW2SQhy
1sW2+0kRUEJSBrIc4rkOyEeQwGlgUXnSFQ0QYh3OKfnAEC3VroDEOsPbrNQ2Jo5e7vMJacVGs6bE
COxevKo5F1sofepV7/JuuUbkpo/BsHQ5sX6GXR9abhTOh9JpLm2t6fq2z+B3o8O09efVZE2XQbMw
niFFw7NkI2e9u5phUy8IXx39yoXZmsraehTKwA9E1Fp8O08GuFxvKPhKdAPQeGC7LaMfJuzWlWMO
iAunifn8xm399sUk/6ym2szJk6zmqDACClOataxpGAA5ump/icUl6IzwFqjcyRTbduh4MnpxRMKz
vGg9zjkyiVgAD50nh5DR04JKu8U4eJcL5ebHxmcqdEBR7VyzwGiXEFA7f712xfCs5bMmw5ngomub
0Y0T1l1VXttpUWQhOZvlU9+kC1RImevT3tVUdoyh6TH/G9k2aFo/mqFlFsuPrBitt6IrynkbpVHx
kTBkUaHXjzQbXZPMV0k3xNbOlq3xWhsuaBzTz+WzbQ8ety7zfD1ITFRjmwxy9+tcxNFZEqTxqMda
9pCtTluUyugeN04doWOstKE8o9RNQPrh66D9qrzpLobeqgdDpg3XFNhN8wNGY3JdkyWcrMlpbbYn
sbYlQC1L/Tc344EQLn6H4AKxF2I0O7Hkoc+a1kM2qqYHZ+SmoX1ERUgx58FtNo1Zv2d+gFYX8Yvs
HgakwXuISopRWeVya/jITucQJ2j7CY52XUcLtUUcmtS3MaT1nAhK3+q3Jn0z8MzZUiyYyyG9zuw8
Yh8wLMgTeOf9j36kIuS+8My3ue9A9yGGMx51ERW3njtn41aPaPM2xtJ5F92YThqhqPwiy8w8eJ3F
xltnLJms516CbI25rvFjcEvxooxyxRGzH4NhXnnEUEHRTm/jAURNyJJrOMEGJDaqhvmN4ja2WxtZ
yMyk3yWwV4TIzBCujEsUq82IUcnZlFXtvHL9+8UpU5G8Q2ozkw5gIADCPBzRhY7TLA9J1k9V4LRm
1e2NVkIqHW1pcS9Lj8Fxnxgq35N2Um8Rm5dk70wTNxCGEefLLxxJZJg7kR6tVx7k6wKpw7s2DOMr
5mHGwlmG0A9pY10UO8Kz6mIvsMNey3hAT93anv1i1aWOfMt1+KZmxM0NxQiMTVJ8sCpy46KKIxWV
PYJHxW1sGtTW5FJxvRsHr1NkHcZROS4hOShWHwjaL+QBPnVGDRbFXEMPNMGuQWue+RpddLy5b7xk
bBrEtutyAlGnXHe/bKTNMwjQRy/O6jeO/pZHg50OHx2SKdDiopCPokN4HrSm1bBGWnylB968MA/I
B7M9l4uRWRtzdOx4V/iIXYLUj/xHUjCdaWOw9QH8vy5hgziWyw1xKzUBYYPWvvEMR1NPUpC4S+ta
tQCS10JoiEk/2OLBSnmGI2x9WZTNWUNvMg+hV41Oz+a949k2J9OsbWp0Dqj7a9KeQCUV2ms963Yc
1KtzgyVEJdttrWICgHzZqHlLrBH419EpM7klEzmPN45sVsh2l4AcVi6fZcBiMrsl3rHbxS4n/Ba+
TDftuF8ISeadZ6BfnZFDZmzoXLAyRMaHjJD584jNiU1mVk9dYHl9/5IkmvwxJlF9W1Qu8NrJGfRH
aXTGFLjMpJst/CVM+mYxk4CX5LjphqHvz3hTcUo4TqwfNTH0d6WhueN2yqROzioMEVSGSIa3ndGS
yTzZkiMSKqG6a3LdYqIg9E6c3a4hRUCSntTsKM+op4SZ1z+dBUziZka8sqaRuVDeE7NeegbbxnhX
tUrBBKWujbdetLgndDHIR0i8WYHBuhoiQDe9sSPn0/YDw1TJTPjCYl4vWB3IUE7HxgmWOG0nwPiV
e4M0pbqC+6Awc0xNdsr5ieRv+7BwN6VpFG+LxmFLZTWzaGCtmGwdRWgvASacSBsGJvpPMp2NMhjm
Ln5IRug+m7bvmnsJrT8OWQwWCPUyI6d3tUk0ZpaTGTuEapBI/FHE3lkQaXClFwVQbNnW5l7HuIDz
I/cyVMGmM+cAssWSbhYyGPFauEv+YXGkvJfwlOy9ZeiDhiyoUWINbq64TKIy/6zKzMHXiQTfw08z
tNe9QbV06Bb0xJtuTJxfUUQlisSsarwQLgXneLJMhBuOTWPvpwGmSJDAROyY0MmeJMFBpzjOEkAY
edyiw9YY3h7R3qsuXPSJIyoxW/E1pv2g7ywHOG7QT6b+qns5MFzSggVyd9Enb4lgyrNzKHeLnaFF
ZR8QpN6Y+3RsY2Ru6cCcxJOLjQ6gK+XPRBbGL0kUBLl/U0Q4ObdpHDEqYJDHsjTqbWJDcCQQLzG2
8I2U33yhkksVBhe34f5nZQNnTQwDW/CmGn56uaARGjQ9l0HtGOVPh6UjEm2sRk91lREWOnnKszeI
pLj+Eru0eCcs8tqTwaXXBaBpCpjpZUt6MzWfT1yDJm7cQlGgcIhMXAk4NLm5YLDxshw53d6Me8/d
1DWTg22GV4cnYtq61t1A5BRf5thrOycaqr0tTZ1E07TPdv/5VOHSfFUPfff11V+/N/9r1fd81A17
6zjpv/Gl//zTZfzqSJv5+i/+ovwvBouf731aV3//N395CZCnv0uGVnHMX/4A9x8/zd3Azur+Sw7F
P35c/FWvf/P/9//8XW7zODfIbd4/6fm2oP/+n8kC4ieWFv9+svDw1cVp85f1yEog4t/8sR5xf7NA
OFKsQ2EyHHPFdf1zPWLafKMsKAyorQBi/jla8H9z1lE+qwvG+fgaPeQ9f6xHDOM3lCNMA1DpgFBg
yvCfrEdWFc5fdgdAMhzbMBhX8FoYYP66OxizxhftNDKLzktsWV3+ii7u9U+fyb/YUPx3P4OP58/7
Cbv3l8yBDrOJUlgZ8SyTEAF19N8YJ5EV/YvfBcu+x6/h2abtrFOUP+1BAGNEK3WeFTPHLtkmiV8z
MXEr7bOqRfk2dA3+qBRG4iuLBHeVLSvZ7YuJxm2LrdGoSBEpB+1AtmFZX2ezmQBNIArihym6OSM8
p8h/UXUaM0jsjPpycg39XlWjJVhntoVXvcKdF/ExRiWzoDhp6/ZKsf8vg8p3EAOSD6+1xl5j8woo
T7R6FZAAnL94bczZmRkda5qZxtE/qISM3g3vBTEJXvd2CKKI+JCN4XhERHYJOP2DYZV9t4HTlw2h
bbU14w1jsT8atLc0U17V0PnDiX/EjUIgqMUTWAcw69XmeeSzIxmaJvhTjzMCKHSKq7AjKO4u0xfC
7Hu9pe4pPWPoAtwe2gtyB1bBeErAjyJGrpYTTVfPkmQskUsnOejQzaBJJA5DjeNo6/tqmY9jmqkf
tY+CImghtT6QmpwdTWfqC3J7Fv8aTqzbBspInJFqRJTHscnJNywtaT0bdF6I+R1B6nE1StImZ+jq
767E3Uis7EsiahTvjZ+mpE/X75hv+kcDTVVM56ZPD1JqS7HH5ZWwryCjV23EDE4wREgHC74cuRs2
0tOSG4cfXgQKZvyTPfdMogS17Z6BlQMGeJ7VTTK0sbqyhCwdnJnpkOyUPuTPKUZOqhJmFs/9nAKl
N2Zaqw1nuPUy4TLIOffT/MHEIfgckYuNmn4Gtb+lzq2vxphohByJ8HKy+kh7aUq/4HqdpE1KpK37
uBZJHtjIsi8ysIrFcmerJSdBVNkdXbpTOglbPpjmW0JDwNJLz/IfZKkN7/GAgywwGNdBvB9G+9fi
+hG1YWNgCoJyV2l0qUnM8y2WQC3kQO3R92WfXAEkShky1XSVBgXznXKExDBlpO7N7JHUjY5hie1z
hN5+bTwYBQbToA0fwJgRYPzP8+VfPl8ISuRk//fPl8f6453HXSX/Mrz+x7/6Y3jt/EZpxFLYM7Dc
89849X5/wjg6E2omhNCJWEGzbOdg/mMB7/yGoJDHDxQC5J6rYf9PTxjrN2Ak+vofD4AzuJX/5Alj
Asn868EMUk43VmoLiX68nPN3FEI8WTjZGkaltTNXp9oSJKXkzH13uJj6nRnHy3GyyYfhxhS5RoiO
Fj+BU3MuamSLGcnODj2Ozn2T08OgCa3wWydfIi4XXHumOJVejx7J1Vr3rDfOyljkcApLjOk7PVXj
Dx0kzqXuypYZgMXJ7ozaR+ob6h1z465unNvZG/Uj5Mv63MaG/zSV8Q+Dgfgb6eftI4rO6N4mSOCG
sFjj1Y7N4ZXg7O62EISdxtHnQLjKldmWHUmXidgRzlB/jpHJ6LXA0babsFZffOnJLTtS65yNjAB1
jRQYNSIQ7AiB2noZkWwbxx+MS4G986AGN7+1Js4Pl/iWoGdQvouGARN0Frk3URMtm7iZMRYXfXeX
VG+egSiKrBXMTkz3N2T6eNsmx2KPaZA5bjYx49XTl06ncSwsFT/NgjM3YSWC3a4sT2yxjm4xX+qU
icWC2XOvdIf83GTOyeimlWA54ttb5WUYm6ZsKclI9yxeeByPWTTUYTGNI7PBwfUIWOBckrXRBvUQ
eaEXpeTFWBbBVaGHZav4yFuxzhqxlBzYfHeU/dOcXRZcafNq2oo0omOlqz33uVJnmeTlhVQzgvKs
3D/EBmt8p+Xj2c7jXO0aIapdXdn5TjfyhoN7yNuO/7Uc3pE9F/e04bG+qWw3hKqWHYRHW5NPKCrV
cJVnH0b3E8vixhTLjpil+YDd/9VW8mUBOM8u5Nle0n0eVfs2cnEyf9V28stP89PIaNTLjS89Lp+G
bG3wsLoXrnVM/eoYIxd2Le26zPUdbKibuY7v+7w8g0g6t2VyIEJF3hjc41uzlngt0HS2p1QU7a4l
Um/r2Gz154chTU0iy2btbkADuyokG0IqMMtUj1lCf1IwOQ3HTFybmleFkva6FdXBixhtZSzjOz3k
Qbahd9hP5viKsXyvWrEzx59DZN9pDrFB7r2dvETzmzExaxDRGKGA7ANr6q2dm/bxzWJ4IdfhXq/y
7VLWO1XgEVtHxttpvJOui2fJJ8N5cPaDheF3IL9tTl8wyR2cvAl70d64LkK8bp0fra/hQMgtegzC
JpbFXwvewMRrtok3H6OGsfxQG3t6+XHb+tlT21jZzoriRxyHV0Mxd4Fuk3Ze5DZdn3ZrYyksHP+p
T8UTlRLvPKr1MNWag9Hr13bzlZJqNC5Q7kuXIUWLj42wRGopVk16mLNg2XhMbWFR7JVVIAvW9beq
9otrNyOzxkY8uPHki+GnoaUq5tDaAXF0MPo+/m0Xsv1i/poZqe8TuMa2c9fr8Sd37QveJGBbQRv7
l9K+XnJCphx5H+vx07Qm6TEjw8RZaReZY4tLh+rdKLQ8GOIK59aU3ScQNgKGz5dIN68jgb9Yx8S3
0WJxGxnpx5SxaJCuurWq4W5ynFcibl4c8nXAxGtXS1Y8EFhwFk1fhGYl7/S+eMV1yPWZX9erI8Ws
jnTd4RCbVRDXZG6PvfEzVvJDdf3zAK8CDTLIz7LQ2Lt57ziezgZpjyA2ntukfRIpFSaFy1tUsdRR
YJd6ByHALMXdIKY9gUE7lQ4XFu8BMtv2tp5AF7RJtlO4o2X9wXbu4OXc34vUz25/m1jLtqrfpmrc
MTu/Qjgc5NoPaxLB0C0WI9flPYo4ctxs7w/TxgLwzAU64C42yHdsbhLfOCyI/CnQ30ZVzu891lWz
hD6RPzXRWecY1PXh1+z2vxA9Mx7FXj57a4ZrNP9ivHXXFCViMC6DpevPUfEpORfYyL9FLXYBy0fs
ot3yPOKaTc4acDUnwpppO4wdfZwEWqwFRt+WgdNYd21EQGyqyx1L2pe5VLewFHeYUp+EOwWgM36S
BRXWvpGz+GvxP2kMdWa1s6Qa2bWOweKMvwbWRtmiPwPiu2GRdgtz4jgtVIFFDsOkYeA4jIAqdJXk
x0y27joOVgEYmK3SKnzbqOkC2qyW+QdeYdSuTzFwBRxTh7IkkAgY+Cchao+TLj89TI7nMsvxLvrk
xY9tw3QjOvbuXsN5kSKX7hzoauw1sd6nrtpFKzU/XY5ORbAbanY1XMdZ8wlwTPE/Z1dTa/Mhl+Ak
8FBu/BSUCIwuOECqv0nn+jktm2NvRyG5mhpSdV3j2kvFxSy5EvQaWDXzb9Z2L1Mp+xfd7dNfDIQh
SCDMZ30oD0pHhz7Xnb7XGyzZLUd90ObTDYfMh5EWlzwytDsEJKFMWGl40j57+OMCF1a3JZ0Lj3KE
ftyrjc2WXBav7fLpdGVIaOpmHB5Qi51rIq+jrn0QqYWQ1/jIEr3aVeywD1ABUNp/sI/ouBDJV3fQ
l2nWtovIl7Da7tSWk31RIBAOSr7hdGlnBxCfsSJlx03XQ5pRtH7dNPG5oYP121uYqcfOKA7mEu+S
JApy9zXxqqPuJjvHWghWcqHV3o6FoAOpTsok+5Vo9JF9Vsb1W2g/JO7AJLk4zrEQE2M+av0+2WL7
PJlRzAokR47D9+ebVA76FjSI0G/Tiohwt9gnfhRYY3KjVx+V3b6CrmWpZRF2FF8NLiFtif1S+y1H
cbWtSbSUuXpzyaacqCyYbY+QWuqbaAYkKL2DYfabzLdoAxFSewn5s9YZwRs0pnhrQxTqmwXg4EAh
UP7IC+s4yLnBEHPdrGYVMb7JzD+ztCGpPNp0uYVhx9xVRgRtJL5ynJ9Zbd3qKHtataIpvH1dG3cJ
l4pl/cIdwcESnxqrDljIjAjWxRKHpRe/lQRhZvqLXLh1JDaWvrh0Jf+KwVrIbBwRKEZkW53YQvPu
K1wcBmb/TgARkCne6Fw+6iS35cI8TmMaxOxc/KSud9qwxq4v80EKG8mbPYT4xetrakv2k0k84Fkl
f7acH3kibddYuqTwjbNfedF+atJPpo/zhQi9nRv5u7mVzgk3r9hNlvfhpsU1HSMVLHM8Yh/dY7K0
WJHySzEnu1I3n23dCDGbX5O7w4koNq0nm2vPICWBr2gwHMESKFI3wme5QqBl1f3qNIqdgBAujFJz
2d60EPIDb4FL0XXpY2u4RagMOj5tkSwHwCsF+YwFKmDRxA68Zy7JX29iwCctqcqedTDSPVrIfeUY
P8m8CkczPSrPC7Mm4p3GFzfV3tM0CquBR7w/1meY2QFD1ZukHcu93nk7tkVIGr/B+dNWklbcztY1
W5ATg4lQwj/H9HOktAtRsm6RboSeuGa1vbWoSoopCXX2dpTMNqCf6BXrV2DUzYMEyGFUuK6ZQex7
+ysyfpgWVRLbdTbW2oD/F0YO2zcgKStrxFWbLLbD1L5vhhuqWVRfBeBipr79wXDHg8XOLZvZbVlD
t8sd6VDZwtFckx2RwWgQrcr8uV8pdV19ZS3CDEUxb61M7FI+kHwW49bgQXlw1WPZ/2jmfaPfifl5
nKMDpDiUMO1uTIpnTYqwH1DUaAgLRpwAII42i7o1Bnhxpf4lbHEAU73aVth25vvEpR9Sr8nk7hdf
PEsO5lj8MlmnTEV7NEroIuwoyeQ22fg125SS3lY4xMbxsSU22eEC8QcQAgvjt2I6yWzaxnm6MxaX
Q7glDTvrQwph4GBa6lCaXxvFY+n/yNojE4Mb4rVPAlmqFvuhj66Ok6BIcHxjRkmJottU+brIs1TK
3okX7bQwYghn2sZOVI19ZATarl/o3vXNdD/wBw1dXrWcUd1sF/x2J/g7ciuLd730Xlcpn5dHZWiP
3UPFua/IaIRIDE8quWVHWz3Ce5sfkjrauN7F8dkvGizazWrn9vOeu+CYNOVBOp06urAn+Nrj6qtj
m3yI4WBBkEfhkh3nJuIYIad6ju5l/1yWWYbL4rlPASMZKEcMMg3wFD8SFB/qMHxKBlwAJ7fgzLQ9
O3UuwkFtsFLKK3aMm9nq9wQzt1z+gsdqHz9xsNy1ur5HqROgj0XWinoLnEVoggLwJ7zX0mgktgiT
QMWIuX/kGFCQ5vlRIGZe1HImi3o/ArUKhtpGxoQy5mSs+ZJ6E+RWOWEa9gBBVeVu6WHPxz7hdBXs
ACIzD3330rGRkmQ9ZWMRjgkeP4nCOrlBmNugM1QUE/G9rXn1jQPKZYNIhicUx5b5srBvHmztppYz
97C/JRYXujb6ajZM7OsQdmNNgsWwGRM1BSayRmLhReDnWdBzngzZWTh8vnqYLWqLLoK4Qv+mjfMr
L/kaXcxK9s9Be1VTWuz1rNpNCVyjxrnHu3fW/XYDgi7M/PmhTSkflnsYDIRyv7c6y9rqEPFtpfTD
S1vdKMxED7VPjt7ggIiZnR3J87SVnHBEL4ddPR0NxrGbKl6GL23qOV7qIRwZf6oZl0+tGZvSHfNL
JNLAmaNXJK7HnuofDdaeeJFtbxAnyCq5OHuTdfYIEcQYroUIieqTSDpyFAbZs+lvg9mRLNhoYok5
HkAQoIzNsl1H5LAd0l548dmNM4Lia2NqfxboTOzR7kpgY2nlbtWYRe1arpXPcwQqvV+wVCO++YqU
uIrzfOfHaX4oW1EcssjmCkw0vb/C6+8d+wQxXFhOulYdEmMY4stUDo28g30+kY2sNZ52apR+Ij94
a3nTLkp7riW+bIpoKvFbbD80tSLEPU4xmWsfLiLsKen4tfsicBgRT+bMolNsLbfYFTy6o/lgcSGF
TYeXyNL9fVmsSLckohHIMn9kuydMUTFDdaxT1JX89VG5L3DKup8uY4KtCUdma0V98WNBFnXdWVHZ
vseIJRR0OKBmO3dKbnt4P80FmmQdhy2ZJtqWFJk0DvWqlquczHxmADKeAFvMl7z3OSGnpn4sORyP
vejqy5CUDDdqqj9rkyvt14S0+3qocJNFjGe+lpJ8js2MhzBwHU4gvSB3GAupe49SPH5Bgd2EEft2
LseRb3lxsRdLHgRzDKwJbpd5pWv1z1xT7s6pvfumqZKDi/LshKTQBksnqnAckyHMyOQOmXAjXU+b
8bTE3gSXkQ4WkVTxsxaMYkUCxoa+vj57ap0seaX3pmcFaAUqTPU4lb73lprsgtD98WfoiAxOBKvN
h7W72kuv8a/0QfFHEMVnMbl0BI45UUSAYknvpCb9K6hZDH1EPSd3YHmwXMm67Y+IdcQNO2H/Br+Y
uOlJ5Lpach4PUvjpWUWTuPaRlJ8qgMRm5z5i0qlPSTO4B+mCOxEmLVme+595terGuJv1g60y/SDY
NgTLoj4YdXX3etyrnR1r61uvSMNe4PTqdYFVl4H3Xmhz+6AWHSVknq7vqe/6o5Quf7FreT3mRKGq
MvSOcuZVa3+MLmzrn+FvJi/SQOIO5IuSff2RsmnFXo1SXCeFTHfesMgDFjxrK52V/qh66uj1ZxIC
PT0KtD4X/CfyOufbpTpIkzvRVsldY4/y0PZ1HkwFpI7O+9TNhtdVOuE6uRVdyNgW1whjijiI/fW/
whM51Q0/VsGpvEjf560Uo9rVLqoKYcH7YgCJStNrkzukQmL/j98UkcsZHEvEWMOeVoTmp3SSDNN7
Yr3GRWS+xgQcsQUaeOH1s0WgygfSZdxaJZ5OJJYixH/DC3fNrVKJzzgQC0pKfQ/7LrrkLW+7diWN
NP5ziwJFM6hZlxdnKNW+aTQWJCW/mMVV1M7lh4QpEaiWD1hPNZZClr3lU11DJP1P3eeGiEnT3tfo
pwMJxfOmp7d8zSr9/vti+n4Di44WaInfalRdm7qbivsYNsU+9rVnFfHGv98c9mgR5qXkV1g/IDvh
VW0czDRu+lb4JYeD59CRMzzM2UGF+P2jSxHh2YKIAmRqWh/tlksx6E3+FbnnYHJ8PoZiSeMd34fb
8GHXOhYgiRdpb498Pdj636xIb8Pvt8mU/NMe4xcUo7zN0Uf7IvJqKzPlX6kmfvl+c32UEcWOTOme
W44+yOb9S93qfthzJGDv8EO8Qpw4f6tdXIPrjtX6yfS0WOvnp4R9wgF0W7XVCg78xAKLr2bkc1EL
skkxsieL41VGafFmyANiJ8pPqFsYY0byoblQGwl54ky0PfZy68WPIUPtMm54rift0/KjZwnfZ+vp
ndpRotG/MRnc2Kb2jL2BX0zww/TKvhVs4yMRIzWjBtyyxCsOnWz7f/x4kh9OxIc34fdvCTmPVxir
6GD647vd86IaK9TVls8tPo11D3m1JRaXcNNANBFvxS76I0gtEaKrrnhK6NU28ZdTbq6/4PfLceR8
v6tuGvyroSpuoKO0+wrqCPiA9UKRjX6QKDYAyPAb1hCgL2Lij8obqxOYnuJepaa1rfpJO2u2EtfC
6cVem7rqlKua84KwzLvvq1O1y/STjXmHucTSzjJGBxuP/Hz1f8k7j+XIkSyLfhHaADjkNrRmRFBz
AyOTSWjlgEN9/Ryw2kYsZjHr2bSVWXZmVTIC8Of33XsuS9lzKNCrfz9qK8KLU6lWrTHPYKdKXd49
v09UKHnj/LOiyEf+hKjBSB0SO+Xirz1yZUKJgNoyLaRfe0+Gh6sN85fHe3h+pdWSXwnxI+GyGuVb
pmnuTcUfjjRR0+0i2MRYL58UrQA7TFjVU4urlG5qwzgAccHIAduHfnmlv/lWwqtN7WaZva0ZRENZ
kn2LtWTLEeTc5JRry7avHzzz7tvdxsrKTVOHd5Li3Oq1Ed7UwD2AyW8zRg0yFfacpC6Wk6jcPS62
v04ujpU73Pu2+YtT0gDXX669xvVXBka/jaoyCNKE84KJ3zzqZ3zQcseDcGxVpb1Ek99hbhoP7cwk
cgxOtNqVhxDX3xUvV/VQ8Q++7P/6XvcObqnAbd18lpZ2Uky9CTchS1Uf9ERdPb777ONT7tDfWQBI
MaIvStuwRn5VVL6zYWBL2nzyBruKMnPe4aD+IdV4TENtX4hpYZr9w2CR08fSuOfOKXZS79QKgOo7
4au57NQueR3XuIp9RsXihpXrVlfxH9Ji5lqrKMOyi1Zu2QzvCcxj8bPRZo3XQZWP0iqmNZeXCRQv
u+Zb4bkL0YtnSFN7W3mvllOepCX8GyYngl+QJQD3DuhLYYBzjMvad91XuxTj6CLnwEK1qSx8CeOL
jBKextDfztkIfrzmC72E7LPsMyPRJ+TBdYJV9IXK1r8qtna9Hxy6xrzHvbXRRLYOHH/h4xgHcnjJ
ZnBYapbR0jGqeoOzNlwWSY2dHeiGIIxPMx/IoJWHqymT1p7hDPCCvo5YHQR0zxwxLN3tvoWOURjD
OpFg0gZy61JFL101vsEEtFZjz9HgKQZkmdLtiy5GoxjV3HaMB4B1BlkPexnqfCJ9hmd7KNq1F9fG
CpKuvtOdQCy7qHyRTfXW17GzUlNHXaDmZ9Dd8Qz20rYWircU7GSPK3KZIFfAtiUn3i7bTuCfBfz8
2KgPI/BWdsXfxgxiF8PVjAAjEXDwsyHdG4TOd5gBYK3p2fCcMXB/dCpI9tok1IrYsraHRElzeQaw
Lfdak8HSQ9nvvO6BvESGcQ1b6ZikxjYnHAEBZMIGS8E8L1HtJrWGe7aFg7bDfsBKEpO+VltPUFi+
2fhkByOYo6JRC7CCN8XGsp34aE6qA+GlNa+dUasVKr68AqeVqy7RrPlfILa906Q/aa8bvDU9j3uU
pJ3KqOz04ooufYvb2D2QZ+ND9iN/4zhc75qKAGXZFf4h5IuNo69z3H0DXnCDyVG8hB5Qtl4yt8Yw
XLl9DICRFRbAtXQKUKCYz1GsQModmkJLN+Rw+TDs0PgYrLhkUksxIMisrqGrDfUfXqukDGDc7bMm
EqCftUT/oJeWGD5hifBohxW7r6iN800oHV6iYOugpObutGhspzq3KmZ9OI7uS+JrAXXznn3IIASv
DNAxhC0rnt0MWPJiVKRBFti6WRWFDHAYHSJa0k3jw6EVdEGXCQrdNEgEk6B8aGwljuTl/EUC6IOE
IwVsilDtaVBZziRf5Z+VF6UG9xJfP+pYbriWm28YboZvk4X8virhQXhtTtplXlpjOx0spD3l8oUs
E4MgX8Ekqrf+GG8nY0RssKCGmUJ0e6hgUb8mSsAESMmQvos5gU8BNSxvAI+ST9pm5+NIyyiOz0z/
ZLkMbv3geGcMS9lWmyr/EVUUm0o5+dW3Z/TFNoR2+P478vY9yHe8vtT9oDNX6XvTOgy4ZULAwXZ7
MM7dOEzh6p+x1TDjozd53sVKG87KNIVtPrUOWilOkGk9fwTLUuPIRNhm3cMCtN1IYDVU8fHXXgyJ
Gr5Dw+TdnDbmJQ35oFdl4Lox2m0P481p6bf34la+9cM8knoZQ9o/gzbAjl3qtjbk4FSRQgoLZnyM
z9ld1sR6oJXkn9kk4IR3hfNBDKl5IBrbPuM8Sk5xHQTn0cnsu55H+Q6Xk7OK6479Dq33086XOoi+
wkyM7WSSX6eKLmbtZ/bkTSNRbNOUsxNCJI79zn1utLg6EzoKrnLCZxRNiOJhFYcPI1b6Y1DxvdNz
R270GQsT+u7dhNp2LhS7dCTu1l9FjoCSPo25j+gV21sW1xCgXOU1PjDQKEUgsdWPKbp4FUkj2QXx
1B8HZmvu3Pm0aexwXEFWzolzJMU2L53gOk0md9tCb05QszHHuG2MeXsyGuMbCVucLCD3VxbADZq+
6XO9yFGUQYHwiIlO1y4aa/EH0iGevilZ9N0JjmSv4z+E+HoErOKJ5j3OjPxvM4T51nZKrUCAQMdK
ldXzNobBc88zO9gF0Ee3wPHtV9vW2NjSxB1/Zy78JfC3nvFgldq0LmZePRfY9hvonbnvhxzGFgSd
5sNw29BdDODWLxjizaOCc4stWgJkDHxbxZsis9OdbRAeb6XFDwinLJZvUManKCy9jNN7Rudbla9O
ttu5IEpDs9/IlKdirsVw3ygLqk5QSOpu7cdW8tWYASrC2CX1diw795J7HYxXAuDmgtqf9OpGkblK
kjDE2FeLWdElUxSS1SgYGdue766uzV/7ebqvHD09GrXHMKRkSwijqS0eFk8A8AuNNLsXIP7OGU8w
nZRl2cT8bwIaAOaLd1GBcq+pVhEmpoXgmVUdyjxj/jnQtGQT/hYRoAW9ZA4ddF8+N21uUq0yzFM5
X1UwO/etd/GSmoeqGDNt4sQUrCyt37aDSgyMJlboktwikIQ0x/irrY16TJHPBBA0Luh0yvhlb7y7
v00KVSfDHJt0ZyVH5Dci9e7QNiuiCGl+qund+YYm3n9ikkueBmUkJswAN4SyJXsbcwCfJ98uDpNy
xSGkPVPqkrO70QNuXIqIORLuEB6IU5IZR06Zrf2RaZ/gXnkXI++na1rPkKFM0TuBGQenPGc1knIX
2PIVFDWLzoRYE2sEA2wpiAL3HTQaxC6TQEuMKa1YVC3rTK5KlEkQzir2vGqfYFDcxqqsye2V8F9d
r/rGKXlgunu04CnfwHGitVvhriNsgzgRw1VKOgR2wLPOPccTnxGPG7+sWl3HydRPWaihFkI2b4LJ
m1/qTupwhenSNV9QaxWDgb2NaW7Dcje7rV6H7rprPfvExce5QdWftmM8YDJSUX2TWWQdu9p1PlyH
qF49v4xqfx4sPapNJz8VX0OstZuB+eKQ84MGflYEQM263v6MB7s75r2y/uAbkEwYY1s8Ss8cCqLs
KFw7J86HYe8PQkWrqXHgehdR4g/bvsqKY8UUEKyAqxevFQGbdu0YwXDknRluI2IiCK/0ofQruyt1
/nqTNborOMLDCs5B81ATWy7XddyPEwDYqHw0pOf+sRv0Mph5xkcHI2I31mEIEsAwmG8D13zBZE9Y
eGzSUhCSM/2vqsToZ5tsTKSVPgdgWj9o/8a5MoIicL07L7mOp7Jw293Y+eMf2hc9hUgufW6LXNe4
8uNtB2NqOHiT0OxXFW7jhevKbp/xinia4iBIttXg1w8V3130azvZBtWIN9JPbPcBgZfrwdBViHke
f0HKUNChHTSSQzZ3SIjOr9d5ZnS8Z0C9fWoxeIahr1gZ5AhfVmGdZzfEKss0PumcEwPrANck2y0x
tUgDBQshk6Achk8iPfkHr0V1DUVXn0bd6d6a1PxOeY0twd5D6kwymklSPtzQ8Jah5eHG8QH0q8Ee
51BL9GROiUPJRHuIS4a/RWAM6U4TZGf5LOPr4FvBH8zDHcN2Q3rIk/YeLYe5RgcRnHrtA17R4rEB
dw9gw94Km/UkuLqzYSjOWYNt37gYZBg+1k732oYPpjV1yGXaHqNTzvaRdeOt04vu0hR9fkcC9Xau
I8cDNYvlhReoWAcx1YuyjIntikHse8LLP/00zBR5zToTUWnJkdYaroA6vAbYVQGu1M2dYoK11jk0
uKAG3oo+5jbjB/nOreuMn7cKLiZeNNAUOdmguKqz02D34Rl/BdbbhjNZM/MNLYLhCVEeG4xRYgzJ
CrhicNdXimDrU9tjuaF/UCyVP73TPOssez7it7EorW3t2UcQbdcUIvTSr0ROeUGAtBoNGoa1ZiQU
FqF3y7bcGYHprKYR0veQtj9RnvK+r8JPTJMxX3WN50Mnx4JDqge8YLzXhnYXtVHd2qpL76EZBhsr
z7hRl8El7EdeXJXWvhCABP5RxxLxO7AvWZu57zbgyofBtNyfkFjYJcrSpF8YUcuNpoQEITJ/y+x2
YVpLbqY7qF1ppP4VYa39tBVf80xvm09bU/UhGAsWxFjBtqEiaK5nlnH2zBIf8wTvRMJI3siwozKz
sLotAiygRoMPPZAt+VRZTfZJc9MeJGQ80Ebhh+E2H6JkJYA7Z7QI6MZZk1q8lHmZHxNvMNbcn/Dj
zQEfh3QYOO1tqqonko/bMPV44nrTii8VG6hD1gh59YdILPPIb57atB4PzFsOt3u0pX8UnonD6siE
hRrkGUSuUr1B8i0yJkHKIlgXhuF+RBRfW9gS1s2ocbxzFFkPMivjNVplvWkz4u1tpI0rQi/wwiaQ
KZVu2w8O/sET7I/mULWCBPTsbmvLaDxHWtbsWYRNO8stl4EnonA5apbx7CRGcZyyINy3AxYs5BS2
3mHZxhc3Q6sy82LgWGKTQe4LW4fUsodEFvYGApl/kbnjH4EGxae60phg9CHfq6zyNk7q5qgq4xju
o6DiN/fmThV5e64xUG+FhuBIZrnuZXZq2HBQZmF0Kn9kp1KR4hMe7TCk+poVLE8WkkK2NUexPfVP
VVuqU+w5Cd8gR6xKGzeS8Hm/hVx68XqyQl3QIgNzG8wxuy3NNE49SsAiYrq9ZlmO4BR0VXbQ0TZx
fE3+ybVzWKSBaQFFD2MOu5zc+j5yiNe2Dd0XZCnrvV3VwZfnxv5lyofkU8q83XfCQi2uFQnqmDEN
155j+EiQkZ7dIe+H3xbXzgP9Au0hHYeqOyH+BQ8CBe1o4UHfemNhvCqvFazG0QeKGumwp10OaRU1
UMKCY89ZXn91xUSi2RY5ui/OTFYSAnz5X8Gl77URpbelzkO+hd78pXERaFksgaO2rfj4u/AoaonO
h0Vx72qsF0ruNihyMfeupqy4i0jQVd+8GwO5gAwVvVpaztK3h/9/13GUbsoI42kapi3znmIBgiLF
tPMr6opZ3jdNH5HXkfof051AdvUYDdrxE6p/T8kNLx5YMtySHSL8VCeYe2+cd2jwkFdaY2lPDdfE
jd/LF919jBtcdbY+XRt/mJd5Fej8EY3GryFlRHV5HQZIlLXob2kyyI30g3jjMFEtkCTrA54v9yGM
dG9lKEYZA+sraKgGn2XjettJcw8j+JElTlFMlVXORBOUqynVhmYRsMSA+5/q5koXODP01ms2aeFN
F00fIPMrvz4OsWUuI7qTliWWbU6qkZLo3rWvwj+AFsRXVOXRI0SO4U/o87GqnORll0crbpoFX1Mm
7EY3OZpSXtyf4BGHpzSf6kdmKP/Eci67WzoX5F+jcEH0/qy3XfhNPQuDtpeY9WNjo9ASSoYUoXl8
W3QHrR0JNj6S1uYeHCscVhYHpSIaEVnBP6mk/xNp+v9FiA08Dsb//z1kcC/lZ5x//o+IwT+/598R
A9v7Fw2QYG5cIDSGA5PvPyMGjvUvz3SB/M3YHJv0zH8mDOx/mTDpXIQrwidk1WZmTcMoMqOmSbAR
beNPNGCwWP7cBv2bGcRB/e84Gfm//5W1x+Kdf031Xyk2m/ADuzTDtLg0c211f3/9vyW/wiGpGgc9
EStdjB0rbU3rmeOK96N0PLnisOZwbHw9+Uzcxv1hhoQ/MHR/nXrYOKVnrFqqwxcEeIKl3U0epL46
gJcamwHciFo3jqmk2ENVFS59yAjyDI0m4800GBax3oxVK1egG8zpjqXuFMFhpQ3rpiLOQpgx8TpP
RwupHWAmbggt3hvwXi5trb36bsS6FR3u0WpyfCyqacrPLIywoyiJhBagsb8HkZ9CkrOLR8cgdhNR
sxQs2irUiSXbBRq9yXiMvaBPcTlVbncQejQehnyo3wWA57OJePcgQ1xa2KMhULMiFC3GgTzCPFY3
8TkPzPSYsxpMVspU/r7iHfpKbNQ5aW1ANZbG7LGIwj74E/aifKqnDCoGnVQEuUxJvbFPKHQ/Sofx
3jcmB7HF/4kStmRp6Vj7DKlyYbLv8jDAxNNDipV3I7gdkkga09kMGtvji4Z0xa938ZbcUUyuviU/
z1C7jm2PQAT1chGSQYaBWJ+wGzQdeezQnesGE5VtC/TgD8ze9VLQF7Hza+0dAGJzdvOiopO+Yrst
Wt5YVoVLXwWp9j6adr3i+uRvudF2yyRFl07Z3Pzp4RS9OHqfzX/ea1vaf/PEAZWURhq1HlqqPXqa
3vwBoFLNgUYoA34IhUQzWQclpc+sWLLoOFZF2t8nKAibAGWD/+hgQ2lUtrAzTW3p6hOsa+NqzeLA
WuteM5QkNPA7d7LwXhHo1CovbfcAoiB6EnHrHApYAptGzxBkfLrp3icg8HjpA/0kjdbetkWEJsyD
uB4m5d+DZHCWAKPIFmt+WODzExOffJql/dZ2s3hnREQbqM17KLU8vtkBFfPgVePnNLbaLfpy/mVE
kb0B9OvcMi3i8p0MJazCIGNbXIni1jlIoBk3201deuEprDUa6QjP7IsKIhWFXW9QPpMljjavRxM2
e4yfCNZTzCSC/TI915QCLau0cpiNI/u9MsvuK6bYmvRaYT3EDSIUTgfYenbGw8t+Jb2SXaCTmYUj
u8BykKtgaqNt3g7yRURVc7d1kInkxFPNQjPWxnNPSj9chyhjP4nWVyWVJ04jzFtHQ5tZ3R1LdNde
65kUvBwvAr2erAybanjqI1CLi1QJHs5qil77suv/6m1rPWdyDB+KFEAGFwvxruuN9az/zsAkEPe6
xnI8bGyxxKyCjSMsdGxOqYkZsRzYw9uBPWv2plzja2XnOQ86KKgsuhmzXxsOu0vvsrwMCaj8HSqt
uEGkqLa/y93KEMNRxx6+qkMdv5bG+wSPgzWs/Wz0PlUz27vMXm1KfBW3qO/dp65uaGHTY7wfzEbV
mnTWt24NrHNJsgxPDcHQG+1g6GU1Bgmu/khp/O7+L5MEg9O8PZcdERZtKLLPUmPD3MxzHK3VzUrJ
Xn+xGkhSE8yTcBG08YjxvsThECR/RjxrOOaYDG8iJ7NQNyI4s8zvaJoCdALYhFjEiohvxnV2xiYH
3BlBBkwJ0APL2HYIVu9FNTlXHTXnNTN0/c73Snumhw7ehDTbr0x64UalXfQU4Uh8lURebyijqYvL
1yj2rqTCjW2QxPXotTNkY7A3MO/dEzYuko0mlBtAYDCR49cR84RdNuWusPFhCr7z+ybNqDMcpnSN
wjcTVBjrFgQ55c7thlDyySaKbKjfPrSUIH4IYAQLn/QPNgHY7SpBGmln4hPwE6ZFHY6TJN46XfEH
ssXw2NkyxckA/ceQz6YmK1YY2nisWalhZwjadjWXXGOtrnIAJEn+5JWtgT8xoIEnoYbgRGMTJq1i
0s6VNRnQJyT31igFV10k9lJaA1agTvrc3Al/5SDqNtz5u6NVeX6wsNL+LZtt1aUz6Rsa3aZT3Prt
pRv4xbjJ402Jt+YpDzVj6WdVe8ulMrd8fjWEd7e6JCLDgQd0DFBRHBzYjU27MqZqEdpcmOANo7qJ
4uH6lCXykf8vr9eqPDpeVpFqrsjm1fNHkrqhvhVcc74FJ/JhcpX2wTLE/2nquWTHdEv7OHFpWsZ5
651ERMoWkQNtuswe8JVlP4liiMeYXz6VY6C/TtgbQHknD2PY7GExYAfMmVuulVGmnzRJGSsSlHiN
jdLdZ72pduyMfSJDHWwSen+PE75Uxmm0ZdOYwm+DVdw1q8PqbGCcX1e1GW1VI7Tt5Fon7rlUjlrd
HCpoPgMiQ2TkSGhjxqNZ1J8oUIPLtItdzWQ7WhlHiS9p6Xqpj4IcJ/tO75pVjp+Fb8UYfmUJmwYP
JOQih2q991tbbmjIqTc081lvKT+f7wrl9+x1RvhUYZK8MAoEXNr0m1ZP5Gz4sQRap9a5SPStpHZx
73bC2bI6MVF4p7mDtJA8i5xyUWGEghgwnS4bfGIorjlD03yqWNNK5J7Gee6UG2Cm7G8iTWxGw5h0
YgYZARsX37trDD3aVYlN2uP25uFnW5o1roCuAveynLLK3dHAEN9E19VHzSB9R04JdbFrkbeLxvuo
kxaooNkEj3Hs+MuWHOLK6FizBgaZDVOhiI8RPXPm2KfHMKreMy+s3yNdGrjvVb8u+sq+ZazmcBSW
ybWv1Ihml+UYAIxozd9vOvh2rS8pIBkOEnI4zzrZshsUQJ36NFH24EmnjhtMUPRv+EOKS8z7HOFn
Gg+hYad78tfqtWs0/WqMofOA+6v/0qbcWQWWsO5h53TrHnPrsnOm1RgWOXqdCrewZ6KzSPuXKhip
4kkH66SZGa25qW9Ve6kya2OMORcpEL74s7nrd0+TEWMLwa9LpUEUV8cysgAxOe1iBHZ4GDGNLCPs
gNfMNVvnRAuc2DkmGir6XHscnA/7lx0yEDYpBj0zlybCLEt3CpDoQwuKI3mnBFnOjGg+o8hj6wBm
hX9oGTkRqIlDSetbNuBl4MlTYRransZaBD+mpT9Db7GoASGdrENILNQoEDfesxCZcBhmEnft2NbR
qfKl+znMPbuUXU0bz8m9L7vxra0ReR8jPJrd1JbTberIBTIBxhfDab90R4mdIPHKieCoZ6cOCetK
c/jRW403gGVXCmskS15ZT90hN4sc4581vKLvNs9DBMxtWVPh/Mnfw8Q8nWG1g6kxPMWNaDaDga+U
6Gt5jI16pgfRQ0KFpi5uOKOwAFCul73GtoxWvtCL19Y0gvXYexxZtEdCGJI0xjXQgjchWeFtnvbO
ufNqax77sfRHHZnRkE31+5QWrNYZIYha9ibO7MQOWP1GUW28WF7U7I2JHlL6bArcpF526oImODr0
MFygQAaffku+swX8+51pprmPVdpDISq0YWHXVbACRmGefFZgpKAwM9AuzNB1IA8iDgwgpCGQNGHf
qEJdvAnclJpMQj0RdnC3wu+GEtVc80BiHOkzP+YHafingco3Hcmhm06pWanVRH7/eZhzqVMfiz8O
sLKNrY3tn64Fubn51eBZvejbxFAjhJwWNyXIJzw8PFPUGMY/Y6CZTwJznB9kR60qxMXvnzpKD2Aj
sg0kdrv2TXnkmzMd+Qd9z+Uhzhdycsx1KIS/gsklYpBthv+nSxvxxRZcsXUMq/JjLMh8SYluZQQ2
1QmIrdeU3vJN2aXazo6C/NFMTP3H5O5C0sxzbhVz996pG4MT2ko5CcrXOvPODDibJGNxyIVn8h+U
aQZEJpt8R+uY2PJ0FGuKHUFDgT440OiovrKKh3po9eY16PNwk/pkLuKRUwQrHbSuQBvzfebalDnP
yOuFMYzzBmewM/pQ1HijvVRsW94urJJTEsk0H++bCS/B6GZoe4In74p81fyUQI+OIlbJrmsCOmFt
sdbj5MWE/xFRWOqoDCobJm7OWszdz6MfXAOvuJbcF9fUQtwDRY2Rbeb3sSDaMPq0wbuPaKsr2wvu
Waz9dVzt0SRrkrjBJUs1Z4mMy/q3FJKMhju7mGOh8aasnb9DD3BMj4X9kNdtN7s4tGpfDZkiLVjI
VUX749L3lXOpS5BEBo7YJ4rpmyMu7/Ih6vL0UNl5uCUI1VxjWKbbrg/8e4nwuDFST2zBj/nPtL6P
ixbiZz30wyEMdO8S0Ba5V+54SvJqgOkJAeRiudI+BFBAj6GdrAFsVnuKQ0tGQSP8IcNq80SaNhO1
iF7CGSlCgHtZTfipvZFjmsPe4biAMFoltyiHABSBxZLKvrQxnscFo7GpE/Vt7CfGFg/9tqjvOCz8
g4VxcG2Bvr/nKvOov1VcD2UgCBXavnkzcqfeRt6E5Ns1Y8dLaoz1Z0gnolrxBAwvBN5rJE03TaBR
ezhNnVG/snOe821grqN13YVU5xbxtNVGaS2I/IWPFg3vCd8+KyHXwYgX5I0l0de6DSp0fssi8ydJ
5poCKMDRzY9t57PIJJvIfGiOOrGuTUya+jYNeEQ3nj1ZeMyyjEnTHv2XqY7yVe8XveIaVdQXsF0Y
ZKloefFBf8wxrVT7QRGH/2ty4m4w3WNOUl12tXE7vuS9YMxy7JjUONedY9jV2glmjblSTR/uYr+a
q5pabEow9qNV1LgjhbZxsYQU6pGIJt7LTZ2sB1Umxikek4n4cqqd9BQ9XxWjsYWRPwLih5THIRaO
aQribCAx0jgY1bqpXzstxoglFkjvQO7ePSUB7VkaYZZTRPp1XNJ8Na8ZeirE3I5kMzRcArKOaG+N
T00PF8Ug3OIZ5bCpPI1cexH3D7roHaIMUbzDcj9vw9P534HjXPBm6ap55RpiGg6oJ+ZaX9ZrfLBE
C5uJ7z8hPEz12TCwdrWA5sps2CmKAfBIFYYkBwymOKg7B584NcgrMw/HGk+lPf1tex51WZvZNWLp
y3+5zek/kCZLhJOgnevak1nHxbaI4+bLCQNxzCrcSVVXji9MVt6hAzF8bIiV7LuhnB5pEyr2o7Ka
bZTVVBWgwZ1hFkVffTXwkditCbBMCwkME59wc4pJucu3Od4cvWSngNAk6x0NS95jgBa0EDADH2Mj
y7cR2vujyk1/nVte22OYSvMjN/xiX4+avy1tXNKo2Kz0QY6Rd6FZeQ8Z+KfWp5RXXcPNygbEP5CK
V74QT4ULLtOEKPwa6JV+JXyk//SuNA+SNt+1EwoNfQLm/i6JpH2lKrdbCzxa54zBZ+9Hef5D1ZN/
q4KeF47lGW9aEBFdmgqbOU/hzF/YWun/jOBUyrXK2RWO2qQB7wxp0ClzU10n19YfCOrgOqW9Tp6m
UuTXwmqGB8eBzbPPNZyjxAR1TM0Uz2MgYczKoQfcE2rB72E9DI+UVKidndjGmQdCHiUFrydfJTam
lBpPC+PaMuqN7jU0WaVxKZlOTZS333rZRR/kbcdj6eEASPpK52Ymup1bKmOv61yyPSBE3zqw+qtU
Vf5VRSo/lJj/N2ketrwTu2Dvxj0iFU77A5ghsR+dJN9lUFrvVBlhuktU5O5A9apz5jFQYrwe679m
1debRnZAL8kdRbtStBPRp5q2Jfzc9kRM2i0pViCqdzJ8u/igtzZ/1LNGPqUm+IIgK/21GQsInO2Y
nLHKifOgud2j7Vr928gK4KZHVrTHAhLdNE+KozJTesXycq7j6IX/JjQSPIY+Lh0FrGD0Qm+v8iQ7
e0audsLp9EMWpxY/MRqfGWGDO+hartVCiwhrxwBA5eCCSW37tuW6mRInxiC1kJrJf8hQdls3gOe4
oFdX+2MTGT/BYMVP4k7FcxzVNSYyrAhGII1veh26e0EWf2fHlbG1U9hVTuAkJ5Nnul44Y1OA0tNQ
J7V+pkeJ1Lqidbor6jVny0AlN3Rsbu0a9aN9jgPNf3T62rmDMw2euJjqm3Eo6fEe2cpkhcrXijzv
44QdcMGk2q8j+IQbQuXdxQnVT4La9Fi7NGwtWOhGZyKV02rqIuNNtq7J+QdwKi/onRs83VvTNOes
nDYM0LGtKYUqELL8U667SSwtTBYxcasjnCl9Gw1p8oazgh0Nr3TCdTT8OTkxQ3/wXBSq/nFsQ33Z
ijbiTxkGIlUCjG/JhfhKUUt0VjEHYD7rg4rK4YfGCY0XHGfdQ0Sa7c0PB0hZXmbuhqb1HlAKY7Hz
HGe0F1yiaawKZUx21UbwM/QUMIsf0FlPJ+08H4VVJ/JFXuhmcWJoptTKYjy1NUOSpc9SClGZ49Vb
Y9EmvmiFibtdqiFPNlVtiGtA6xzfosE2iMFCFVvY7B6QAvXcfHe9MHA2smgxcNXYPQlnlnKX+MhV
Ol/tdQ+uy3lTkAISivxwxpCtTTxANREELXxqMWod/hvxnhhocqxA4iMnLVmhtkEUS8sZtiB1Gd1c
A9GscLrZ7B/i1jjjrmbvrYVd2e0InQMQkL2MAARU5ErKcRi+JtNCWJCaqC+MDOxLLWDxS8Za1D7a
wOSigDpaUiyphi83I44lgznJ9dvpKCKu3Wia0eTtTGFggGlknIfAVFW8NDhLmUexsIHinIZpJ3pc
SQyoAyDzmHXt7xKVZ6r/G5I2pLC3QvuTXoyftASBfeiCef1KES4b0N5CttSUwaJuljK739AT4TAk
W8Pf+TgVYW8zEa25xxUry6ujVx4l/optVRxabRjWLvHcOyMI+okJj0jQGUhAWPnXMHKDA+9ddW8m
7oAahrSx9qoLZSMGgQsteyqUSM6hEg8ADW5QrmCYpToMdh/e2EIvbbmreQ8drCJKT0kLHqDRreLo
BNoHVh9uiprB9RNwFG/K8D/YO5PkyJE2yV6lpfdIMRgGAxa98dmddOc8biBkMBLzPBiA29Qd+gZ1
sX6IqL86I+qvLKlli7RILiIlgnSnEzCY6af61HWACNFf+9moSm/M2jXunNbsNrHrvnrRNSPnJ89n
hMkmufged0G8NyQMvd721QGrHkXZ3uC8tB6Mc+inKt/R8BHsli5STvSVuR694KG3OKCHFg9MJ6Vq
kI9pPnjN0nc4qfx9ILdyndeD2siGgKiv/RCbedDupjBPOc9QKek1ZGvjMNCMeTELrGLgahuHTd9J
ZVPyoRqk6IaN2ocJGf41N634eR4Z0xfGEL1Q8xQE235a8KI9lN5iPbpUvzDRiqRmN4W21llVeQm5
5s64e6mddP38zPKTXvye5z7Ni04c7WpqDh5oeRxvm7Bt93mC4R2FBFAPdws3DsnJr8azqIgYrCq7
n7DwMDcX7s1cWUznUc9KzjwtUdfr/z4A7hx/a9Bc/+x+B4X+ghr9fxcuyp5H+suk8u8ms8XXv/7v
Iv5lNvvvX/eP6az/hyKdqqh14/zBHxn2/hsAznX/8ASLoBDOT/joXwBw6g/60CS9aMp3XeRp51cA
HH9nUW2CZKKUAGj62zz2b+ezzIN/mc8uqDYJaM714Jbyn+VTlfJXMqfXMdaaLZkuLpkvNrHlcQ67
ZovigNlvUKOJm5tiyoM7V1c2BfTbfDA9fPk0RxWmb76lTj5c0xcG/CtTI8AcOxqOYRE5J9G02V6N
9RdY8t6DFX70szHfp/50k2kQRlFF7GMK+g9nDi8hGfZOPVfEiGkavXVdKu9z4t7sEgfg+LWetu2o
/2wt/0XMJjnoQL60U3LtVNG3UR16j/w3CoRdVoe+c+6srN82kbcmCY60djG1fI29eOvU6b5OvdPs
Vd+6iSB00J+julpRQrAlK3orxxFKS6+oGKYpZTWjutIwSZow2zT2pxAhWou5cRiXNoQNVl3V7pO5
2HYmDUFJcIwl3Qgdw/cPgNvDVhXsm5ln7fv6mwzn56RtAEFE8tWQjnmsu/mFhG22i5sa5WrYD2W5
CYdwwFtqN0c1Fel+CKetaNU10e8T7bsPY23d5jER6TyTD8qgfcxVEwzvZG2x0eBIcoz1mU0pKPph
a1gXx+53EJqPjcw3jMjh0DxNOYTpKR6Ma7/xN7Vd7jsscMpcF2mBKhy8gSsiLxlv6KDlbNMPT7lW
7ToJ8GOaFokuE8wPD+kBdRup/lKR2mKUXyM7EqA7FgWXQIpl1XkrYpwq9Wze+TyM35GSaPnriS5p
5xpsJZ33vpmAAI/0N+ylHxEexVUdOh+mcBFuHKzhTN3dfT1K2nM7B4pMl+kd9oDifirjezfcOe4x
KfRCpC8RKziGrCLyBNfYEPW9P3CuqeNA3spmnF7C1poO/oTzajImzoDhuMvowF5j/jKBdI3BW2UG
V4Gb2ccByeuK5f6pEvrVqj19aew2PnqRSk+i6BJoGPVjy7DfG/jXTIrbDZOaFLdpyjbSumHJPTSM
nDigX0s9IgQELVyJMsguacdY30ySYxoP7dauzPe5K/5klshTumADLqf0CZjipcT4yhmWk8GOg1L5
iDV5HYjxWSuGNI6JtbUkwbdO2UNmoMZ3kgTbOZzUKsFhi4XtDO5hDfh6JbRDkE2jfg9ardmu4PGt
9n1nL76lQ6vZkEeb3tJsCPO2u3XT9Hups5fSgzVo99j+HK+7TAmTnAqqhQEPzPo29Es9I7Mo0Z6t
xRzZaDh+rrYPoH0fHOadwFGbe9J7dPV8n/Xw1hAwWVlRfKzaek8BHw5wh1KkXjBG+4AV+yyA2n3N
buheIhtkf+nYpEJxiFn8ADTcruYs6QmjHMry0Udxlc6IFR0kqlxi0K8YrB5wKvOmwHlI8G1+8MIX
rKZEQWyZidSaCkawnVvNOmFPm3IBwOR5ZFqYoTkkq7k6BJV/dumG4PLo11h/t3IgX2hzoWPsKpiF
rjr7c/bSB+3EKVR5PMSN/+qCz+F9CAeeiKf3cynjtSSXvmq7egLros6TQV110vUwyqK82rnIMgeM
DpiAZxezt8fBCzUieE/DfheBeAsz8xgE37p+wIxLhqA2EwoTsq3TVTt7JEjdjltRz6dKmQeLYQW1
gikJ3PBIxN3Ur0mz6wYUJ5FV1+hsmHkT8usTmqg+BZm+7mJ0FM8AVokfRTifuVFcQMzv+ybbxyiw
eRuA/uh3RtQDJRSn1qzJ2tE4DK+S4E42EDrMwrsYpuk6LfVJcNRFCZ8fyqE+F+MHNePXsLUupl++
jplE3ZtPKmYrn6RXBf6UdZDQNRiPnCaUE68jGd9D72eVUEZ7yF3SgwLD4SrSGUdr9zEqaQ0sTDoj
FJHaqnjIE/8EDHdTIywwPWBqBc2uZfdnyX6bZuqQqOg5wJ+8JpTABpKWjSZyj4y5nmToPVAquU59
tzr7NVSlggIdAjmlu3YYVnIq5YrNlU4ORN/vuty9bXKxr9uOuuw0uSHRck3xBAO8F28O1qbRfoSj
3tfOfEHcfwxL80R7pbGynfFRIQms3KG9FyDn8d2AdmxpAAz9P0eGDHk6XzI7ucdxQB/0RDzb75S5
T4yTubwDwINbfDNU2TRyn2Qkj/hiHA7RRZukdKVqBS3HS6iReIGAb00p48YsqseBXAvz5KnOseoP
RAAtLrjhc57q7sw+9jbCK7lR3BA7WdgvUK3IgMLBM00SxjaReU77ZG/unC7eW/1LzCq67qkOOFpN
cztN/bFB4QgQl4fxu68TnKjgRNDDrztwBY1eQqG9ODGBObkRdyOc/CtPmDfIr2uY/smackcECOQB
EoB3fYsvAebROpbie9ECmnFq54xVyDmYk/MY0arUp86NDydqpUiemi4Dd1PoE1PbU+eT9iijfF3J
6qqrg+c5iRjeqWPJLLieKZcuHBqD1GHybX8LP7O9wjGcbg2yDNee6RDZ6OxXK2BQ6TUdxWKcaWw/
5z6dd0Czt1kcPAZNdA8mp2bOCRcglEgbAJ+FGD9l2D4Txb+dgvQ95Wq2hu++j2GVDROozeks26WZ
I64uQocdWe+AIqiGMpdJ2eaBHyzfGA34yhZMbiv1W6bm5gLpSe0t3Z48bMUe3VZHJGL/uQd0NtXG
I6YEwBnI5eccpuh6KEdK1m0lAIV1zXOFZX5kG8ocVZ5dnEG6o0VN9om1t4taXZlRSK6SwWJT9S+1
vyCZogAJO8qVf5+UwRnTirOrKz7EMfW8HZe72JJBi9el/Y27Zd4Qw72QebgwXSKOrfg15iQuLM9r
jzT0+C+xUh8tpJZC48NijrESmfWQ96THXb/8sNLAOzsGRyF46/vREptGWMM6oGeHpSDcudQ3rWDR
CVgRXn6tlWesOX3+2XPsyjNRbL2GeYgxWVfGnD4Q+KAbMhjJZNSPXW5XhzFTP6YWgyTk7LMSPLom
IT8dqAYGRDf0F9GFyRVEVrw/NoO2MIXR8RN2YhpLhJcd/LqZTOsUj0+hmmCZMAGMjZ7hrBnoDbxd
vYM/CQXEwRhtuwtWIiY+nXT8xQ8Sww8iiighDvyEFCw4jrQemVKSUtmKBCRDasDWSC0wJOnisdYz
ucy0d8DtUa2xS+WIE4gc07U3+AvNgi/78Y9LEtin0B2BKkxASuDIAY7BNoG4kFTW209ExkJpKOFZ
vSzgF8sNt2MQs/m12XLxKeJzCkFJ/HhZ1Ee+ScCnkCYLXGPxl09tYG0Qur9rT6BRtMt3I1o+PtYd
ZRWMMmN1HuIY7l2f36GlraGZnmA3rZ0Qw0k/+YeOYyrg4zSie2su6bszEuvKsmBEMqd2Txat4NgX
0G3zmImEaTa35KmfkLGfmXDXXCoJZF00HAx/MNv8uXwXssQQjxWdhMC6nMK99sp7UVtHYnZiI5pY
7zwzA2vZNw+Gm954RnXyldxX9vKoZ2K5sar6UvnJbrYJizj45WYo12gwb62u7g3bGSg1MvUV3Qrx
Lp3r6UCuNcQmKB9m27rLsHhslTE+JCK5qKi68fLwLmvTaxdpcgO+OrhyxpboIObzDeE59xuEtP7A
me0dR6siSQRAkZk0HvICl5Fyg++Mc4HaJSN0QH/aOmHePwiJpyJjo7nPieIfhZnQwTZn+UMg0k+u
JAQ5lZaEL2Jn0wfkvUIqVc6lNPtNZU7USVXQH3xnB+633tQiWNbdkJ2BQkPBUsvV4kEIHqJ4L5d+
3DA4EXWLNyjOags2sts48SCvwVQ5m7LHUwInaZ147yqxPxOKEdZUJlMT3JdfOGfzL3yqDtHcNrj4
DOLuKK6aL17d63XuQ2wiJHtIMe9CT4uAB+fTmhvQYicfRGuhbf8CI2Jk10A9FKujvqncIllrsl/r
AhzNsDJl7m8wrqjrRbrLQtM+xNGU3JqDqXZGYGa7n7dsPWX3ac4zh6YvJt6dt6CD4EmnkAWuwgVd
3fQ9t4dVLfd7w7UMmmB8MRyffXcW0H4r3Zbsw8y9ayd2cEOTNoohjEq+PCMOjkmQqMGMx2YbEOSf
2K1iHYR5l92XOQ68HyvEjzR5WxvtMZ01rwZiDuXNB9oT9jmoEvxePQ+VeHy06axL11j78CoCdIaT
ZMk3EDLc5LMxH9qmxd6oJ/sprf0lpUN9Nlwz234CUF6dRmrbDsXCGPrhBhwsviP5s/pE2ia6B/wM
04S25odWqQCfPlttXHUaWpA9YI60W72IjjWCINcpaXGBlXj/cylLNcKm3YIxDVOr99diXkAxFoLl
j+UqVD2fys+3iJIBiabsm9e0JNyR+E34RWiM9zQRkcWvw+UmshmdtpUWXqq2FPZTrzqj2uRx730Q
R8XDCNviScSss6BYJCqrzvPM2v1cDKt2/MS0Y63LkLRuKiPwLj/AWEKQPQ3DELnXXf4UxEOw/7Ew
2s2iAWcD3y/VxMrBbSxfJWpW2BKPeLxMp4nMlmrAtZniogwdvg3Zeb4Cp0rEj8tRquGS53dTPBR5
XLIdL8Xb4PnQpyvTYDo4MvSPuiIXnAiSgLrKnH+v6xwmCU8xiWV0Kd7eNTPPCTz6gEXaNiVdim8Q
GG1vSSY3BOUUDGvSe2WlONOzdsnM927diIwnj+HI2I7NWEfrhM/pyoL8S5FUb8xnYPLzgwNsAoWC
HqTNjFB5YOQYmStFhck6n1PxPtOmdJoGywCfPvUnMVvwQiw15KsqSNUddBfaOshOZa8OkTTEZE5W
tASKUr9ipTaeVUTTVzPFBut6qZdD/azUsbGM+KYHlMYctra6t5aOJVAlwH5OUlmz4pZOigM9p6q/
97EbTvtcG+5jLcp2E/LPNmZHweAKn6T/XVmT/jS7yT/1CxGFzsU3BI35Nh4GUkwtZ4I16dnxBTcR
mLokUfc6kiIBVhZF+6ZMwmMQStuBXiysqw7D5LnKExVvq0Saztaz+mClPCx3MlWVcfCVl1wzdGxa
fk8S+ElnEyCo7cbZE7jKAH765lo6UX82W2a2YRQG+1ZGVbexqz4DjZ9hdnPN5fmDM2BlZj3s8ITR
iplU/uechOy/dd74J0/FYCo6VHRSsEMdyR11m+3J1I2+4aYfmdrK6nkQPXmfQo7IXyO6UhImYbHB
FYM9sUHOlVNhnHq62oFdsGO8zM48n0qUpxM+Bu+Wa246TyNav8mZnzLNaWF4BFIUOfNugfARx+K5
h6ejKaXpyWdTybrg55vgzu5xuYbDgGoFEIMSAwKUQLYnv/5y6UA/qyH14LFZVctO2kzOZrFgzilC
L6iqRfNItuVkGU/8b/gNi5T16tIy1W6YZKgvaCaMvi3leC9p5ruPXJ7umZZ6uvaopceIZai7nITE
CYbK9NB7/kTUXwzV0dJR9RIQqH02osH/WsRJtMHacjFoZmaEvTXB9ezMQfRJUonjBkW1gG/tJqse
K9xJzQlmhXHuvTh3V7HZtp/BWKTXU2ayMUZQ2BrYrT8Hi9/kPOn4nOFe9paMa219DnbA6YHVbG3N
jTyalq128+j6Ow+8wpmuSfVdmVjfR5+jsz/RpTMXekCR7NNxbQsP875jOwfQDj62QwrAxGwnJybe
HCE9AfU018ztZZXngHm1Ere1G4I9x7PfHDgaMObFGntBFqQrni+GnnHtZOHHwPe65uJyGeUEHY1h
nb9XSYnXZMZMdk3p2jI6SYhVxxYboUkxXvLM+KqEtUWGzTRuA1K/67nyKGUw2YILs9N3ppT5YRLa
Y07+4jBue+Wjb9ZFU2bn3FW0YM6hQch3mo1t72XqFKNBHbBJfkqDvQ4ByG41mkN+1LnElhCN6k6T
069XmNfgjlqyug4iD3y2xrIZKbjXmVO0OycPxoc5mNi+ZksuXnn5U2tidTVr0d8ThqxXOMLQDPMp
wRHtBygEoSPusDkM11Q8A+Msw0+N7+NWAFhkkgjPYj1ALLnEkc1BoJUA/wOGxpu0J4O8bppQbCIW
UACdqAidnAKeUJIuilQbmF2NYitEMh5qqdsbR8MPnVUxf9XMeg4m+ZCT49gSZ2RvbFrpG+e4Nds/
wZsTaiGTWnKDVPql1tiGF1HarbBl5HIRPStrCj88O+TjHFmzGhxRNw7uFwssat4cs8QcrrCNdgcW
BEJ6edBbV8Psx9Ve4kHBbsDp9D2DUJavlVTx7aCLvNrjyIo+k3SJ2skEw2IRLfNMQsE80g0HigbN
s8P3uZuBjFu+As0fgJlYrkR7PLGWWIdxHO17H6fce2F6k79SVgU+LAv9R8MTOEwafyyvCw/W0kZ1
vneETAIYtyD2/dx2yobIy3D8mGJO31cSWsGIP/KUyba01hhU7HHXkPdCKZOV+N77EUdjVuep3HWs
tgz3oXq8M9hOP0qlFw92zgfUTDzPoDTAhcVsPJ6H2pGnOS6Np6FkpNBTrXBvg4JGVcpd9J10TILL
0AX1BRdLuMVTO5DVAESzJffV0qLgz5a9rokmvE/RoN/CcsofyGMg1XMfPpB04vFHtar1HNGEkPL9
hLOZGqBSmGx8yQ4Ehv8u9+seE3DsbUe6ops1QFjKKVwCBbdt1nceG86pfA9SJ6UJVrjhOQTkcAfD
rIJObnrwmyYsxNfam71HMNLBOxAPxuQ4sTbSVNWND5vpUNTZQ5s55lURhdE69nXwAu+P3GRl1XJX
yay+DlTqY1Tyx1BCzO3qR43etombaGgZGFfjLuqNiEQTxs1DkwnYECms4JvR0uNdYhDuXlGcEj6U
UZA+wrIYvkbW5RxZcUwwFk9ganl4GKhvM3PvVxYS3sjM0wRLVO6z4IZYdJk0l/lAcXU6ftKHBtJW
Ef9fj0DWjkDmT9ytVbQ1/NLHReNKEj51X4kvNuLNwa5BnFVZbEMbdAjUYKkYu7uwxUy00uT+n4lT
ROdhUMZmZHJ7Mn3IgnE7HEXvuKCFqpHWIKe2d1xkJrQkOUOgok3xdjQdTnRNF96anJRiJIPC5g50
etJIEsJ+hOJBl5xDtbrhodUQOSc0aMUNHOMuxEUaeN+jMqKSYJooG0Aw4dk5NLF54fDbIGsCGeMI
17tMAooElXid2kV8NWKN2RO5yrYC8DLB4oqHZuVfUZIqKVq1u+KeFBC21cp20OmbhjKTJNHbNCqN
+9IGK4NpiMoHWsivnMKfgF5Ymy4PH1m/7joDA4ThoqHHznxyU/oKpmTyNjJ2w6+8zZ4mOW0iRuxn
hg31JlVGc+7txnrTDDOg+mLb6LvAXUW1c6/b6GhU9dan9/40sKL7PHgMGd3hQ9rlBlxkahX1aJ7D
MrpBBEHzSan6gTSQN+kR5kS6CVz7JSqx4gi6YFsUPQo0d0AY3qpAXTUVbJiJO5amM0DSRTQt8hbG
SHItRz9picNAvmhkOu9TR8TbpCinedNQQd+EvrszStVenK6ctmCCCBvaHT1HXl6/m5WUO41/49y6
QUCtLDEaEjyNfZgNF1IezgfxJ9m/6sJVyyplq+AZ4+D8JEl4nnqjAOZgRqq/a6yhePDCztzWFMWs
0tlJV6U9P+K6vFJMNNaMoziGEVHazpm2r9IheMVWncP3McZ9OvYwsKuZIig7oYuF8zz7VsxwxzAX
DQ+WJttEFpjAMNHuXbewSwf2MKcY7+zGz8XU7SNMm/dGafZfjH9LtHTmJGOkm31pS49JA43wHAet
K7wj07mywvbiGibOVNsb1EMzuP1VGqmZneaovilsRru2ltgY2HOu3RJ0Da0IGRDEKt759ux+GiYm
tlSV2StZOYf+YJGcmgi7t9EKn/1v6r5YdiS30zDMx6yI3J09SYpK8Aznd62TmDA3jH5rShJnufa9
w0QJy5MRjNauNyzvG8HT7pzXkw9Ao0uRZNLoUXG6+y5GCxm0TXV7zipTbDuQwifHK51rDcobw0ae
j/tsMekIs4i3UwpNoZ2mBVtIXzncREZOTSLSN4upxA6ObniLlx5ZsJqzLeiX9HYoybASfjVumZdZ
WzxP/h0wAkzlzEcZnFjVIQsMdzu7iyzidukpiO23EugkCdPeITOro+9J2HjgzLzp3nJaLqSsMiRk
rcH6qD0+udGqgiMg/HQNmrt5CCfXwAWT8oZKnPlmMlVgaVRP2E1RHMt6dm1EP0QoG4O9xwF0EwQM
/krhNzcZQ7fFKq8lQwsbnA/GVrI80GqIGhCPi6gBKcxjJCYKrMwQy2xaA8pmR0XPkxw2cHHpdinz
+TPxM3Ys0mYsgbZ1SMbauIqtKdpKtxBb5fb6CnuHPjL+bAG5s3vNAUIc4M/N76PB0HhkhH8/T9QD
9NU0Ei5ImkdfFPWO9OeeI3pyReTQYx7lW3vGNz3XbhNgMrUGczsbPZ8IGSTVqbUkEH5SVZXfEZXq
IAeO6mlqZthBFBNCFLMB+VG2sLRu4KgbeBIeZT76tFKGVvhCVZj34Bq4YFZOD7OwVCq5gZscX5LM
1kQIfS2PRaDL5me96P/HBcTfur9G/33LFo7CwPGf21JuP5qP4l//5Z9+1b+ZUmzvDyEdzxeWQ+DR
/CsywLH/cE1FhS3+E/UDGvDvzABCLhTfwgWgD5epnhQWVbH/gAZI9w8qDinF/UdhrvrvmFIca2mD
/b/MANd2hclhyqd3V3ounIKltPAvzABZUnbPcBg0Z6k4UDngr0mDmgXXpWwkzBXDNY62O2KEquni
YATWMX0H5uelHzaOVLnmrsVQkmEA4C+VplJCQTsLeHgLhvFevvBWitQIj24ge4HmWdbm4jKlE6jI
kukbgPFuwRNmzVsjeyp+IFj1FKI6PaOViej+jWOE5lWoW0a7tAkgk7cCe8Q21BWzmbRuKeaJfdXe
WbGUDRHclo7oXHKWY+1hz8muQdgvvpvTACDiBYiZu6+z6HiKtaUZHBK3cb868Pl3jRnkH5PT0SM/
YVXlTcD7I2kaZjDcUjwWd7buZoQKcqGY1Tyj58Tp4EGHk0LQLG0azvcT5UHDBhccisPYDLgCysUD
uHaNOf6YogqUcRoEWPSiaEQp7nUCGYfprf/hdfjOVzKPQI5l2chmsye8yq4Ywxw+dWM6oIey7fXC
TFNuRDritSjyTjO19NUR+nT6EDDZekRJipsNherybJd2SdS3MxjkNrENCSJs1WdJd96rpIoPowbi
I0epit9641LiAf5VdVeQdIpzqGP1PCtzpv0dvMNNm/FYWddVod+VXc3Pds6IHKWhJ3pIvOy98Mv6
Ph4mQWcVpguqafCrdxiynRQ+is8Q+9EAxPbFKzriaFix80QokK6UIZgHb6N7ooy7mhhlwrpqxZ9q
Huvv5VjHKPth3IOrpS4vV5vRSii7w4ZAPhIa4tSuWZqZRKFQqVXZ+I7eLOLAMyq33R7jxIfVE6jw
TU1AA+txCj6aICqxDwSqrXdZqbp7tyjmDzht41uEed1YmZ4YLnE15ZfEzvCQRx4mKCxac5Bw9F0G
pH1AMR+2+1Kz+zc99cnWmABoyRAy2KRTnRlcfJ53LUSeYksw5/mG001/qU1XvuZe6b5DBUEidHXf
XAtaHa9opmbzHGcOhPEWhuhUaU3rU16htkhW/jvThUi26qEIcF/EnfPg2h44Nzv1hx3zUyLxwi7b
HaEd/56O5QY/MlxBs6n8PSe7nCI5L+vXrFZFuxZsYen+1VHp7dGUh3ti7ZR2ZJ5o31uhG3dbziPh
fwMXL6+pOAMilwMJIhxqNsD/Q/3Nq702WA3UG111uJLsbWYSndrNIdN2aHmZXWyzEgooW9gy9fa9
k1MJNSbDLJnPx3BPg7B/n72ahkdRactcqwBJhchbSkmMZy2Oe52K7qtg+FmA5W1QaYlH2czSw5R8
HhIX5/9+Toc9O/SIZuZpsq5HVRZ3SUoUeN0GAbWk0czBgWJY+wOnFJdjXZeg5pj/UEhtViYVJLoH
3txUTFRXtsVTFjrccik1CSLvKow0uYbU8OFkF0Udumsfj/8bIYv2HTw9Z9IhKT77jrK4Vc+pxWIf
iFhCks8A7kaxtEtuPG7VQw5Lm92wRQowMTsKhpFrGjaIXY/m49W8EcObsDu0qeW8JXEJanXW/Bq3
IOC6HSc6G85gJCS0caVNslYOphQxd1MHI0u7z7mToYLZgnYaaBPNGRhlEi9stOyF+LfBUt577Z9N
mDFIR53UiLrEDjZl0tXxtoZwkG+Gyoi+eW3UiJ2NMkWwtR7T7yAWjHYtgVpTG6ZSGIRWOJFQHRcj
oS8aME7gXez7oPbw0DlxWX6NfeA/DDKzvJVuG8pr83yGcO1IH3BLvlwTxDdHk0y/to/8rKHDtjpm
wQNdlTDcjAU0hJkE9MsI2AQJwEHRWoNxhslO7jp5rTRttyu7x86FUoZlpoxK2BREm57KhApcajlI
eoO20gs5WHBODCdncLchW2Giz+PCDBd+uAw0oqxq4MrVGMfDZqF/4SPF69smjB9xGfxAYOQCdkWI
E/6TgA4jJbesQdVYkQsq2IS/OjgefU9CsUavYA6a3cqAAf/SklnMsUV3ALmou6TfCEYto63OGOwT
LjSR78PJ4tqGyn3xRzaXm5Cp+luCEc+ClK8AptoVSbo9GgkqNB6c5CvOaved3TWtW3XPRBjHBOR8
bGqjTE8JQbIn3zGEfTXPwJXJHE8w1SjxrCTRMlATTHinqGN33MTZsfUaLH/Y/v2ZM0tvP4VsaNE8
ChC5x1Q4ej6kncm0ixRCs0Gio3G2rLi1121ftIjWnVowsmAfYG4Vuj6EFS7Uo9BpjS7GDJfSLhv0
1qFENdSQJsp0fECxIN3C4qRXlrAdfQNsJzVJJ5f5ezDg5t9MXQm8JMvrMKG6uGVGQxbGPUgXouda
TD6SCLmrGdOs2QYKirfJ2cOeexeKfWkl931lEX0dMCclq0lQCorkJvHxzHLBqSVacbiJIbkBSGxr
t9nIrsnqbdjBPN02UMuKY2GPst8J1yR6bRqEUPh1JQNp9G7MgMtEDiVFjtXx7yM3zqmbnyucFJ5V
RlsL9cbj0rSmB4XvrT8BbOz7fSx4RjUY44JDnhbY4Ubw0Y9joc3vNkLeR8lZT+/LIkRbCOxIwwNH
QMVE2YnsUzcjPhlEuC8jCn0GSxPDfgadWtHB5U/1VRnX1huk1qVwEUzVGxxExPSmM/19zWYh5n5I
ivyAJhTcd2lZDSghsg03kIsBpJtzbZL0TkkZpOjCoKPGAhgzEFcWQMhX6rbVBuHSsrICOqOWVsSO
H1mu4po5xtpqJ/EkkMygkRggPciqFe4ahKPXrINmLG+LxPaCValTLEkm43GSy/BQHniSsZnrWqlu
o8ChUbL2AnZUnP6IhldKlI9jklUu+x3XLFeyzWgEqeg6AopmiXrcSEX7bFGENS6jnEKUbQZr5CaL
guHVLvoQdi7OpevaGNVXYKW4/1rZcKGUtmMYDBBSklQRlRwYyWZNJ2wkBu8pGULBcgCbFm9DNJVv
Q5LwGymSgsf9NPP0ZuosgKkritDivYqVHDdWCrfGCyBSAY6ZXRaYuOJXx+cQao6RU9euGxANBEt8
ZDX2iXPurasBK0ji6vTBbbEt7pmIMXdwCE5qmhtzgiqgxH/UjYwzIWQtWe6zvg1RVHlQuGSJo/zJ
pBvX4kovsvg0dvlk/jzv/adUsV+RYhwP2FQ4nmXZC6aMP2Kd/+vxgAOp4wI1SjYJKTJAW+gfrSzI
pRu0v/3l9HT788zxP8h73RIo6dr/9T//2Uu5lmlz8JUOSEP315dykGTYxfvJRs9Wd1NFZb4uB48+
qBSU4N+/1PKufzn0wIm1OPosiQBOUvZvhx4x1/FUwaDZVHou936b/dlYbrH9+xdZvsnvL0ILlBAu
jzVpu7/9PK0FNdru42RT2Wp66tkJMVS2o2vPKNqziCraLmejcVd//6r/7Ef766v+9qMRmcIQENE9
bpnDfBiquNuX7SAP/81XgVjnOCYgPOELhzPur7+rYIgYxdsTnHHdOhvTy9q9WRJ//ftXMTnn/voR
/ngZQhmcgz3Joe7Xlym6mAcvPgkU/OrQ+YxoyPsZ25IC3XXttuJS232+i2pFsm4Mxh2MOrwyeK5v
//6NEAL52/fx211g4xqCpUchZwwkdDU6qtkra1mtFWozz85tSciamS+MUoeqtv/iQvoPv1I+BRej
EvZQZXtMaX/9FNzZopIlZzvYY37cdlaGgj225X/xYf+H2++3V1l+F38RAgAilzGDiHjjhZgcnNol
DhH2w65E0tv8/cf5exCGO89XFmlI11IW4Rvnt5+IeoUgiidQ+WiDrHn9yJOAB2mTylNcWvV7Hzmz
eSzLQryj340b3f0f9s5lqW1kjeOvQs1elNS6L2aqxhaYIUAgIZmQjcoDjqz7/fo2U2c9T5EXOz/Z
OAebxJmJWczieAeYbqnV3fr6+/4XVPLMKI2VWdgq2mWGCaA5EQjYIQYShGcK7NZFDT3sY5aGHIkk
QnRMhgMT0l3NK+o7O9WzB8JOyLKmEKJCrVSsHR5P0DQuNUt2KiGQ89HxBD+RfF/5bf8ofbUXFCcN
3WScwEVuPxBqgJTvLbbeTBMsL0uNT+EB6N/ZL549du5l3JwEQa2OevZ4FU8eu0ctrYd5AYywQU9w
uZS1U58881kHCeLV/ht6viGOUpgqS1k2ZQ7jYyrqSVccqtiQfT90AHp790NYx7c6ApGneQDjpLRS
CeU+ioL7Ox2fxe4ubJoky1SwMqTgdjrVux5OK7kGqla1fx3j04H/eZdMQbMK4LqBSx6nddUzuKnu
fH/Xzx+gqZgWaARdCA7zu9OkG8pMghDK7mUYnWPUIrwI0YdwfqAXKGpQeHh6HDC3RxXxGeIseIyO
KRqMvlkAp8p4mNzfy/OtmFemzZSHtYZbE8Kl292kJs5XnFoxJkqJZJ28TT2TGMqsqkkdCSxs1NRX
L/olRbZpWcgJKxGQJMW8IKSoY2VZ/p0rGl+fuw+W21bJXbIrqtbOBTUI2+Q5mBBULXIN0e58uEl0
yGNBkRmoNdWN/Z133vPpC6NPthXkVYWs2fbOpkVZRZMaOAtj/h5ZuwqNLseUUgtUqMn5PMisC8Ce
6NHsH/nnC5RuSR+b9GroiryzQCtJV2UFzRPHI8sEwywYqCbWiT4hX4vM+/7OVm/UnVEVbAdCjHuB
TMy3/ZhtzOAQ8swDJzVHgRsMCYBbltLbXJdNpwFmAivCV5CyLlPRXSryYF8x81P8qTnDzqqiRkMB
9bzZ6rL+X3V4VnUwxm3qyTNz5tX8aEGgU/VX83jx80/TxbzYLTo8/tNj0UE1j8kOCMsSvKU0KIRE
M49MWE051pAultfFCMMaebdJWqzUiMUxe9VYARgXum3KTP9NzcE8tnRqFBQJVFszdLbSf1JzUOHN
bi9dm1hGh6XLzDANWTV2VpLW1U1V+Ch5GVWDv6OJYRVIpSEvH/om1f0Jp5/lDPIjcHScdLo/VvIB
mjDCeUOFtJgUSgu2Rkde4YNa+/W8D+rSdYa0RA2NYm//4GGA1+JHZDSRQ6hvAN0YxTk9Be38CTwJ
7VPFln3TkySMXnWoRKBZgveCcDBbdd9hkTy0qOxKYEJUEjtYLhiQ65eDAIlaV2j4Tf2+xYR66afi
SnH96M4l1V4YhgXPR6tHWmvbYtTZ4oMCfXXom3eNYUr6iaL14fUQtIQ0Mqe/8yEgPc/RKko40vaq
ajqcM9PzQilHbFbW+h+7NohzRzXi6FKSDVgNIhrIA8K7K/Jp3cgVboRdhK2SXgE9QeawxpiuKwVa
TZ1bvZGXpjQXeY49cUPxuHAYugyR1LK8zrqMk6/ZYGQ2I+fmhQ6ZXu8SN3e1n2SljeSskTf1K0V1
I/1UDuPqtvUslGZbtw2hxifgQ2AqIJVVKjI5u9JExPY8RuYJawnFDz4NxLPtNNN1MDoGci3nKJZZ
9gysSnCL0o55tWyQaKVkbMVzgGzIY/ZsdDmWq25713o++SJerm545htx8EHgwIdRWWXm7qnH8dGd
LhV3eZ83GeBvRVrCqE3IGFT5iVqby2amlVqOqBcZbnVOEiH6QCXYhqCpdRGKq36OY04AhByaplAr
VZ0aJLLu6noQV61HfD9p8H9IQPeNvMnQHAbzFdlSV79w9bY2mqlptDHlJX8owrO8hLmST0AwlUj/
2OTsyMOH5RR93ywA7Qa58JREM9COVKplfQaYtfw9rAw3PdHBS5wYnV97J5qSmZoTKTYCIWoSF/pU
WIg2oeaAK4ej5gaW5djERf11QOEcYQ9fqWDzaUllkaIR4k4Nsx5jIRA/4AFa0GlXQG4KHFwTL7BI
P0otKwAKMfZpdgyPzzJd1FiA44qzrGo77VwJMPW4Ntw4am9ZXOl7EpnUcjJJjtKrxquQ+h5ASk7J
uiBbZrbyjVRKBvAM4SozUu0wDZeNXvczaASF8j7xzQGPlSU+xZNMboCLBEXd3uRCUz+iTyX7DuWM
wAZUZ3XRh2KAPzHDeqOmuAFdGkmJQIaeB3vZ+oggGJUPkMFZMEtlPODxLUFi0sSLIfuAoml96XmR
kEk5xf1NL1uqRAUcYuUUC7j4FSm7GoByK5SYkS1JzpVSH7wF21Hc5oYAbATU5c4TKlq4btOAOVY1
5hCIxbB878VYoU3UMlfuFEB0Av5H3l+wcQGuhNyktDh2udE98w82jR816scAD4EPhaC/k64xk3dS
Sm0CVaYWH8bK7LtZSeqsRNRmiN+l4EjIojZ2dEn8ZOgnYN+ki6JHbgtVwKZ+30AbhXra5dkAmSLV
L8mq4ZoUWK0RYn0uq/INpX6kjOpBp5ggFUuszcPcLKgLWTwNqGul+zuKILCF0tyrQP4ascvskdv8
k59lcCaNXMdDJQYXqDDfwzo4VSQFf3ZfavLf287KsdqEAj3uK0R4QApAUA0KNH4qv5i+T7pOAdyk
SUJ6DcAYiueSo8utlRjIq8iy0v5GTUsjmSZnQEM84IWOHqcNuH299Mg0xpr8viTHhqq48GSZ0l2d
vc7iTMPAqFC09MxNvPDGVkwZtju7/3AZlm171+CmguWNflcoqgeSuouhuEnLZVXOsiRpHbhGCjPJ
ylMIX4XkoQMUocQGl3gwoik8bNJ2gQ8t9Qy5WyyrVK3q2jPUuNTXiDrCMulYCDc+oRD28BzAXsdF
X8yX5K87XgqpVyIbZUlvqTYxqxJdDc9NfBwCwiDzMuTMekaSPZBemb1o02nRd/Vb1+bFd4HDmv0p
icDTTkhs+LcBXlOJA/YlQBA8LCOoE0wr79TrchiWeuOC8StwQEdqLGuRggFbRXUBYZ76zYiBC08b
beS8JCQ8ScEPJnWKLi5REVj2keY6aGphhMIrmroGaG2oO2WDn6FUuyjeuH7JOSxZIr8Q4X5G46Hc
n3Qi1+FCuvnyPqvQd3RaAbBmMtQ1fBcLkFMI9oW67tQK2TemwGOpQP/zeO/fInzyGKSOgdjJKg67
qRdF/2ZR1lH1Rf9j/Osqr3mb/tiXNsIiX2/oMQK87TMiwPu0htDPFXh+mjxFn4zYji24yuqKVpe7
r4FoTnRZP9CypMjH6uoj01RErWHzB1095uzDh3ht9Vl39WRsvnX3+29sPYz7v7N17XMkKhPHL4kP
twE7AscLzv5/5/532nhy/wBvMPy12JUECJvxsz0MmnrMIdhUCV3Xn3Wo/i8aBhJF9t+cBt8eBsU+
thUgdvKYvR4/BPBPZwPDYCN3xHfU9d//dcPAbBhz0ofNBlU+Jt1B8p559fT2deWYQxSSyDi6rD7/
YDH8janyZVOZonXzsNpO/EX5tV3nW1/YrKfnf39cS789/PzTk0Pc6nvj5rLuerHa5saff9maIysF
qid/XP2MWc3Tf3+8v+c9f/WaNr888xfFvLhf9qu77R+vcn3g/fW+WDzd5XDK2fy43g+3rvHJM9/b
aDT30nm5aWgcD5KPPOf/3d7PP/1Qw/F8SJOdliG6H97yZL7cVsBaJ+EOveDTxQNjHx19bU+1lfGV
cmgPJ2X2+a/Cr9Kjt3PQ4psG12OuaS/Qwyz1P/+5/TCFsFj/h1765QjxXH7+z9ZFoyrzEhd9OWdE
oFRiZXT0wNjU0eZ6x5Eh5Tf6Sx1+A1862TS2bp3X+OYXP76KQMBup6KEroxp0UOvekTWfv7rD9Lt
65ZWl0z68wXW5/WiSObxH/X99iMFh/sCo/3G51Eujs7nCCYW2x2so5NDB2bsYMaUpBOmzBWZu62t
cXzrkR5+2V52J+b6zXpoH+NWMD+aEjYXfrL9oKkyvMCe8JZVe3Q9x1lqMyCrWWRbgmDm4KtfFJ6f
bY090cCY5zy05dv0npEBa7lparxqFUO3F9jNfo3n2fZ6HaPFF1ivlzzC8mjGe8Tfvu51MHromFz7
8/rzX1sDQsPq5hc/vn+9+bbl35cQ6MfCgDfpXsnKA1vfyzw4sO199YW9TX8t8vtlK0Q8Gf9/O5T9
7heISMeG7yPKHr/8FwAA//8=</cx:binary>
              </cx:geoCache>
            </cx:geography>
          </cx:layoutPr>
        </cx:series>
      </cx:plotAreaRegion>
    </cx:plotArea>
    <cx:legend pos="t" align="ctr" overlay="0">
      <cx:spPr>
        <a:noFill/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tx1"/>
              </a:solidFill>
            </a:defRPr>
          </a:pPr>
          <a:endParaRPr lang="pt-BR" sz="900" b="0" i="0" u="none" strike="noStrike" baseline="0">
            <a:solidFill>
              <a:schemeClr val="tx1"/>
            </a:solidFill>
            <a:latin typeface="Calibri" panose="020F0502020204030204"/>
          </a:endParaRPr>
        </a:p>
      </cx:txPr>
    </cx:legend>
  </cx:chart>
  <cx:spPr>
    <a:solidFill>
      <a:schemeClr val="bg1">
        <a:lumMod val="95000"/>
      </a:schemeClr>
    </a:solidFill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75478</xdr:rowOff>
    </xdr:from>
    <xdr:to>
      <xdr:col>6</xdr:col>
      <xdr:colOff>299356</xdr:colOff>
      <xdr:row>27</xdr:row>
      <xdr:rowOff>31216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8C4C03-C05D-4137-8868-A39DACFB1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174650</xdr:rowOff>
    </xdr:from>
    <xdr:to>
      <xdr:col>6</xdr:col>
      <xdr:colOff>299356</xdr:colOff>
      <xdr:row>13</xdr:row>
      <xdr:rowOff>130388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A6BFC88-2C37-4BB2-8268-90998A2B2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448235</xdr:colOff>
      <xdr:row>1</xdr:row>
      <xdr:rowOff>0</xdr:rowOff>
    </xdr:from>
    <xdr:to>
      <xdr:col>10</xdr:col>
      <xdr:colOff>1008529</xdr:colOff>
      <xdr:row>27</xdr:row>
      <xdr:rowOff>44824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D4F1DB91-F957-4DFB-9019-556B40B15A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83475" y="182880"/>
              <a:ext cx="4682714" cy="47997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1</xdr:col>
      <xdr:colOff>1361</xdr:colOff>
      <xdr:row>27</xdr:row>
      <xdr:rowOff>172193</xdr:rowOff>
    </xdr:from>
    <xdr:to>
      <xdr:col>3</xdr:col>
      <xdr:colOff>1115785</xdr:colOff>
      <xdr:row>37</xdr:row>
      <xdr:rowOff>163287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7980941-7CBE-477A-9B82-228DA7E6D3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1259280</xdr:colOff>
      <xdr:row>27</xdr:row>
      <xdr:rowOff>172193</xdr:rowOff>
    </xdr:from>
    <xdr:to>
      <xdr:col>6</xdr:col>
      <xdr:colOff>1061358</xdr:colOff>
      <xdr:row>37</xdr:row>
      <xdr:rowOff>163287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5757F21-4FB1-4D76-9511-D0DFF3297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1197429</xdr:colOff>
      <xdr:row>27</xdr:row>
      <xdr:rowOff>172193</xdr:rowOff>
    </xdr:from>
    <xdr:to>
      <xdr:col>10</xdr:col>
      <xdr:colOff>979714</xdr:colOff>
      <xdr:row>37</xdr:row>
      <xdr:rowOff>163287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53489FA-9FAC-4DFD-8853-06A7FE3C5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1</xdr:row>
      <xdr:rowOff>95250</xdr:rowOff>
    </xdr:from>
    <xdr:to>
      <xdr:col>10</xdr:col>
      <xdr:colOff>489857</xdr:colOff>
      <xdr:row>19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3566713-021E-4182-AB15-D2123FC89B6C}"/>
            </a:ext>
          </a:extLst>
        </xdr:cNvPr>
        <xdr:cNvSpPr txBox="1"/>
      </xdr:nvSpPr>
      <xdr:spPr>
        <a:xfrm>
          <a:off x="650422" y="285750"/>
          <a:ext cx="5962649" cy="3429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1) Receita, leads, conversão e ticket médio mês a mês</a:t>
          </a:r>
        </a:p>
        <a:p>
          <a:r>
            <a:rPr lang="en-US" sz="1100" b="1"/>
            <a:t>-- Colunas: mês, leads (#), vendas (#), receita (k, R$), conversão (%), ticket médio (k, R$)</a:t>
          </a:r>
        </a:p>
        <a:p>
          <a:endParaRPr lang="en-US" sz="1100" b="1"/>
        </a:p>
        <a:p>
          <a:r>
            <a:rPr lang="en-US" sz="1100" b="1"/>
            <a:t>with leads as (selectdate_trunc('month', visit_page_date)::date as visit_page_month,count(*) as visit_page_countfrom sales.funnelgroup by visit_page_monthorder by visit_page_month),payments as(select date_trunc('month', fun.paid_date)::date as paid_month,count(fun.paid_date) as paid_count,sum(pro.price*(1+ fun.discount)) as receitafrom sales.funnel as funleft join sales.products as proon fun.product_id = pro.product_idwhere fun.paid_date is not nullgroup by paid_monthorder by paid_month)selectleads.visit_page_month as mês,leads.visit_page_count as leads,payments.paid_count as vendas,ROUND((payments.receita/1000)::numeric,2)as receita_k,ROUND((payments.paid_count:: numeric/nullif (leads.visit_page_count,0)),2)as conversão,ROUND((payments.receita/nullif (payments.paid_count,0)/100)::numeric,2) as ticket_medio_kfrom leadsleft join paymentson leads.visit_page_month= payments.paid_month</a:t>
          </a:r>
        </a:p>
      </xdr:txBody>
    </xdr:sp>
    <xdr:clientData/>
  </xdr:twoCellAnchor>
  <xdr:twoCellAnchor>
    <xdr:from>
      <xdr:col>11</xdr:col>
      <xdr:colOff>57150</xdr:colOff>
      <xdr:row>1</xdr:row>
      <xdr:rowOff>123825</xdr:rowOff>
    </xdr:from>
    <xdr:to>
      <xdr:col>17</xdr:col>
      <xdr:colOff>285751</xdr:colOff>
      <xdr:row>19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553070A-26F3-425E-B1E3-F88CBB32060B}"/>
            </a:ext>
          </a:extLst>
        </xdr:cNvPr>
        <xdr:cNvSpPr txBox="1"/>
      </xdr:nvSpPr>
      <xdr:spPr>
        <a:xfrm>
          <a:off x="6792686" y="314325"/>
          <a:ext cx="3902529" cy="341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2) Estados que mais venderam</a:t>
          </a:r>
        </a:p>
        <a:p>
          <a:r>
            <a:rPr lang="en-US" sz="1100" b="1"/>
            <a:t>-- Colunas: país, estado, vendas (#)</a:t>
          </a:r>
        </a:p>
        <a:p>
          <a:r>
            <a:rPr lang="en-US" sz="1100" b="0"/>
            <a:t>select'Brasil'as país,cus.state as estado,count(fun.paid_date)as vendasfrom sales.funnel as fun left join sales.customers as cus on fun.customer_id = cus.customer_idwhere paid_date between '2021-08-01' and '2021-08-31'group by país, estadoorder by vendas desclimit 5</a:t>
          </a:r>
        </a:p>
      </xdr:txBody>
    </xdr:sp>
    <xdr:clientData/>
  </xdr:twoCellAnchor>
  <xdr:twoCellAnchor>
    <xdr:from>
      <xdr:col>17</xdr:col>
      <xdr:colOff>478972</xdr:colOff>
      <xdr:row>1</xdr:row>
      <xdr:rowOff>123825</xdr:rowOff>
    </xdr:from>
    <xdr:to>
      <xdr:col>24</xdr:col>
      <xdr:colOff>95251</xdr:colOff>
      <xdr:row>19</xdr:row>
      <xdr:rowOff>114300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1A4D350-E21D-4F46-82A0-236CC41D5F54}"/>
            </a:ext>
          </a:extLst>
        </xdr:cNvPr>
        <xdr:cNvSpPr txBox="1"/>
      </xdr:nvSpPr>
      <xdr:spPr>
        <a:xfrm>
          <a:off x="10888436" y="314325"/>
          <a:ext cx="3902529" cy="341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3) Marcas que mais venderam no mês</a:t>
          </a:r>
        </a:p>
        <a:p>
          <a:r>
            <a:rPr lang="en-US" sz="1100" b="1"/>
            <a:t>-- Colunas: marca, vendas</a:t>
          </a:r>
        </a:p>
        <a:p>
          <a:r>
            <a:rPr lang="en-US" sz="1100" b="1"/>
            <a:t>selectprod.brand,count(fun.paid_date)as vendasfrom sales.funnel as fun left join sales.products as prod on fun.product_id = prod.product_idwhere paid_date between '2021-08-01' and '2021-08-31'group by brandorder by vendas desclimit 5 (#)</a:t>
          </a:r>
        </a:p>
      </xdr:txBody>
    </xdr:sp>
    <xdr:clientData/>
  </xdr:twoCellAnchor>
  <xdr:twoCellAnchor>
    <xdr:from>
      <xdr:col>24</xdr:col>
      <xdr:colOff>274865</xdr:colOff>
      <xdr:row>1</xdr:row>
      <xdr:rowOff>123825</xdr:rowOff>
    </xdr:from>
    <xdr:to>
      <xdr:col>30</xdr:col>
      <xdr:colOff>503465</xdr:colOff>
      <xdr:row>19</xdr:row>
      <xdr:rowOff>114300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B0CCFB6-0FFE-4D07-A857-E2431D34FBCC}"/>
            </a:ext>
          </a:extLst>
        </xdr:cNvPr>
        <xdr:cNvSpPr txBox="1"/>
      </xdr:nvSpPr>
      <xdr:spPr>
        <a:xfrm>
          <a:off x="14970579" y="314325"/>
          <a:ext cx="3902529" cy="341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-- (Query 4) Lojas que mais venderam</a:t>
          </a:r>
        </a:p>
        <a:p>
          <a:r>
            <a:rPr lang="en-US" sz="1100" b="1"/>
            <a:t>-- Colunas: loja, vendas (#)</a:t>
          </a:r>
        </a:p>
        <a:p>
          <a:endParaRPr lang="en-US" sz="1100" b="1"/>
        </a:p>
        <a:p>
          <a:r>
            <a:rPr lang="en-US" sz="1100" b="1"/>
            <a:t>selectsto.store_name,count(fun.paid_date)as vendasfrom sales.funnel as fun left join sales.stores as sto on fun.store_id = sto.store_idwhere paid_date between '2021-08-01' and '2021-08-31'group by sto.store_nameorder by vendas desclimit 5</a:t>
          </a:r>
        </a:p>
      </xdr:txBody>
    </xdr:sp>
    <xdr:clientData/>
  </xdr:twoCellAnchor>
  <xdr:twoCellAnchor>
    <xdr:from>
      <xdr:col>31</xdr:col>
      <xdr:colOff>84365</xdr:colOff>
      <xdr:row>1</xdr:row>
      <xdr:rowOff>123825</xdr:rowOff>
    </xdr:from>
    <xdr:to>
      <xdr:col>37</xdr:col>
      <xdr:colOff>312965</xdr:colOff>
      <xdr:row>19</xdr:row>
      <xdr:rowOff>114300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E97282A-12D0-45EB-92E3-3A39CF6A421C}"/>
            </a:ext>
          </a:extLst>
        </xdr:cNvPr>
        <xdr:cNvSpPr txBox="1"/>
      </xdr:nvSpPr>
      <xdr:spPr>
        <a:xfrm>
          <a:off x="19066329" y="314325"/>
          <a:ext cx="3902529" cy="341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5) Dias da semana com maior número de visitas ao site</a:t>
          </a: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dia_semana, dia da semana, visitas (#)</a:t>
          </a: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 extract ('dow'from visit_page_date :: date ) as dia_da_semana,case when extract ('dow'from visit_page_date :: date )=0 then 'Domingo'when extract ('dow'from visit_page_date :: date )=1 then 'Segunda-Feira'when extract ('dow'from visit_page_date :: date )=2 then 'Terça-Feira'when extract ('dow'from visit_page_date :: date )=3 then 'Quarta-Feira'when extract ('dow'from visit_page_date :: date )=4 then 'Quinta-Feira'when extract ('dow'from visit_page_date :: date )=5 then 'Sexta-Feira'when extract ('dow'from visit_page_date :: date )=6 then 'Sábado'end as "dia da semana",count(*) as contagem_visitas_dowfrom sales.funnel-- where paid_date between '2021-08-01' and '2021-08-31'group by dia_da_semanaorder by contagem_visitas_dow desc</a:t>
          </a: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&#193;rea%20de%20Trabalho\sql\SQL%20para%20an&#225;lise%20de%20dados%20-%20Material%20de%20apoio\Exerc&#237;cios\09-Projeto1-Dashboard%20de%20vendas\Projeto+1+-+Dashboard+de+vendas+(resolu&#231;&#227;o).xlsx" TargetMode="External"/><Relationship Id="rId1" Type="http://schemas.openxmlformats.org/officeDocument/2006/relationships/externalLinkPath" Target="Projeto+1+-+Dashboard+de+vendas+(resolu&#231;&#227;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Resultados"/>
      <sheetName val="Queries"/>
    </sheetNames>
    <sheetDataSet>
      <sheetData sheetId="0" refreshError="1"/>
      <sheetData sheetId="1">
        <row r="3">
          <cell r="I3" t="str">
            <v>país</v>
          </cell>
          <cell r="J3" t="str">
            <v>estado</v>
          </cell>
          <cell r="K3" t="str">
            <v>vendas (#)</v>
          </cell>
        </row>
        <row r="4">
          <cell r="I4" t="str">
            <v>Brazil</v>
          </cell>
          <cell r="J4" t="str">
            <v>SP</v>
          </cell>
          <cell r="K4">
            <v>734</v>
          </cell>
        </row>
        <row r="5">
          <cell r="I5" t="str">
            <v>Brazil</v>
          </cell>
          <cell r="J5" t="str">
            <v>MG</v>
          </cell>
          <cell r="K5">
            <v>142</v>
          </cell>
        </row>
        <row r="6">
          <cell r="I6" t="str">
            <v>Brazil</v>
          </cell>
          <cell r="J6" t="str">
            <v>SC</v>
          </cell>
          <cell r="K6">
            <v>110</v>
          </cell>
        </row>
        <row r="7">
          <cell r="I7" t="str">
            <v>Brazil</v>
          </cell>
          <cell r="J7" t="str">
            <v>RS</v>
          </cell>
          <cell r="K7">
            <v>98</v>
          </cell>
        </row>
        <row r="8">
          <cell r="I8" t="str">
            <v>Brazil</v>
          </cell>
          <cell r="J8" t="str">
            <v>RJ</v>
          </cell>
          <cell r="K8">
            <v>66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C819E"/>
    <pageSetUpPr fitToPage="1"/>
  </sheetPr>
  <dimension ref="B1:G1"/>
  <sheetViews>
    <sheetView showGridLines="0" tabSelected="1" zoomScale="70" zoomScaleNormal="70" workbookViewId="0">
      <selection activeCell="M2" sqref="M2"/>
    </sheetView>
  </sheetViews>
  <sheetFormatPr defaultRowHeight="14.4" x14ac:dyDescent="0.3"/>
  <cols>
    <col min="1" max="1" width="6.33203125" customWidth="1"/>
    <col min="2" max="2" width="21" style="9" customWidth="1"/>
    <col min="3" max="4" width="21" customWidth="1"/>
    <col min="5" max="5" width="21" style="7" customWidth="1"/>
    <col min="6" max="6" width="21" style="3" customWidth="1"/>
    <col min="7" max="7" width="21" style="5" customWidth="1"/>
    <col min="9" max="9" width="14.33203125" customWidth="1"/>
    <col min="10" max="11" width="15.88671875" customWidth="1"/>
    <col min="13" max="13" width="20" customWidth="1"/>
    <col min="14" max="14" width="11.109375" customWidth="1"/>
    <col min="16" max="16" width="20" customWidth="1"/>
    <col min="17" max="17" width="11.109375" customWidth="1"/>
    <col min="19" max="19" width="12.5546875" bestFit="1" customWidth="1"/>
    <col min="20" max="20" width="15.109375" bestFit="1" customWidth="1"/>
    <col min="21" max="21" width="10" bestFit="1" customWidth="1"/>
  </cols>
  <sheetData/>
  <pageMargins left="0.7" right="0.7" top="0.75" bottom="0.75" header="0.3" footer="0.3"/>
  <pageSetup paperSize="5"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BE00"/>
  </sheetPr>
  <dimension ref="B2:U30"/>
  <sheetViews>
    <sheetView showGridLines="0" topLeftCell="G1" zoomScale="85" zoomScaleNormal="85" workbookViewId="0">
      <selection activeCell="S4" sqref="S4:U10"/>
    </sheetView>
  </sheetViews>
  <sheetFormatPr defaultRowHeight="14.4" x14ac:dyDescent="0.3"/>
  <cols>
    <col min="2" max="2" width="12" customWidth="1"/>
    <col min="3" max="4" width="10.6640625" customWidth="1"/>
    <col min="5" max="5" width="25.33203125" bestFit="1" customWidth="1"/>
    <col min="6" max="6" width="10.6640625" customWidth="1"/>
    <col min="7" max="7" width="24.33203125" bestFit="1" customWidth="1"/>
    <col min="8" max="8" width="7.6640625" customWidth="1"/>
    <col min="9" max="11" width="10.6640625" customWidth="1"/>
    <col min="12" max="12" width="7.6640625" customWidth="1"/>
    <col min="13" max="14" width="10.6640625" customWidth="1"/>
    <col min="16" max="16" width="36" bestFit="1" customWidth="1"/>
    <col min="17" max="17" width="10.6640625" customWidth="1"/>
    <col min="19" max="21" width="10.6640625" customWidth="1"/>
  </cols>
  <sheetData>
    <row r="2" spans="2:21" x14ac:dyDescent="0.3">
      <c r="B2" s="12" t="s">
        <v>13</v>
      </c>
      <c r="I2" s="12" t="s">
        <v>14</v>
      </c>
      <c r="M2" s="12" t="s">
        <v>15</v>
      </c>
      <c r="P2" s="12" t="s">
        <v>16</v>
      </c>
      <c r="S2" s="12" t="s">
        <v>17</v>
      </c>
    </row>
    <row r="3" spans="2:21" x14ac:dyDescent="0.3">
      <c r="B3" s="8" t="s">
        <v>0</v>
      </c>
      <c r="C3" s="1" t="s">
        <v>1</v>
      </c>
      <c r="D3" s="1" t="s">
        <v>2</v>
      </c>
      <c r="E3" s="6" t="s">
        <v>3</v>
      </c>
      <c r="F3" s="2" t="s">
        <v>4</v>
      </c>
      <c r="G3" s="4" t="s">
        <v>5</v>
      </c>
      <c r="I3" s="1" t="s">
        <v>7</v>
      </c>
      <c r="J3" s="1" t="s">
        <v>6</v>
      </c>
      <c r="K3" s="1" t="s">
        <v>2</v>
      </c>
      <c r="M3" s="1" t="s">
        <v>8</v>
      </c>
      <c r="N3" s="1" t="s">
        <v>2</v>
      </c>
      <c r="P3" s="1" t="s">
        <v>9</v>
      </c>
      <c r="Q3" s="1" t="s">
        <v>2</v>
      </c>
      <c r="S3" s="1" t="s">
        <v>10</v>
      </c>
      <c r="T3" s="1" t="s">
        <v>11</v>
      </c>
      <c r="U3" s="1" t="s">
        <v>12</v>
      </c>
    </row>
    <row r="4" spans="2:21" x14ac:dyDescent="0.3">
      <c r="B4" s="8">
        <v>44075</v>
      </c>
      <c r="C4" s="6">
        <v>26</v>
      </c>
      <c r="D4" s="6">
        <v>5</v>
      </c>
      <c r="E4" s="6">
        <v>259.29000000000002</v>
      </c>
      <c r="F4" s="2">
        <v>0.19</v>
      </c>
      <c r="G4" s="4">
        <v>518.58000000000004</v>
      </c>
      <c r="I4" s="1" t="s">
        <v>18</v>
      </c>
      <c r="J4" s="1" t="s">
        <v>23</v>
      </c>
      <c r="K4" s="1">
        <v>66</v>
      </c>
      <c r="M4" s="1" t="s">
        <v>28</v>
      </c>
      <c r="N4" s="1">
        <v>108</v>
      </c>
      <c r="P4" s="1" t="s">
        <v>31</v>
      </c>
      <c r="Q4" s="1">
        <v>10</v>
      </c>
      <c r="S4" s="1">
        <v>0</v>
      </c>
      <c r="T4" s="1" t="s">
        <v>40</v>
      </c>
      <c r="U4" s="1">
        <v>17</v>
      </c>
    </row>
    <row r="5" spans="2:21" x14ac:dyDescent="0.3">
      <c r="B5" s="8">
        <v>44105</v>
      </c>
      <c r="C5" s="6">
        <v>931</v>
      </c>
      <c r="D5" s="6">
        <v>35</v>
      </c>
      <c r="E5" s="6">
        <v>1676.46</v>
      </c>
      <c r="F5" s="2">
        <v>0.04</v>
      </c>
      <c r="G5" s="4">
        <v>478.99</v>
      </c>
      <c r="I5" s="1" t="s">
        <v>18</v>
      </c>
      <c r="J5" s="1" t="s">
        <v>22</v>
      </c>
      <c r="K5" s="1">
        <v>98</v>
      </c>
      <c r="M5" s="1" t="s">
        <v>27</v>
      </c>
      <c r="N5" s="1">
        <v>136</v>
      </c>
      <c r="P5" s="1" t="s">
        <v>32</v>
      </c>
      <c r="Q5" s="1">
        <v>10</v>
      </c>
      <c r="S5" s="1">
        <v>6</v>
      </c>
      <c r="T5" s="1" t="s">
        <v>39</v>
      </c>
      <c r="U5" s="1">
        <v>185</v>
      </c>
    </row>
    <row r="6" spans="2:21" x14ac:dyDescent="0.3">
      <c r="B6" s="8">
        <v>44136</v>
      </c>
      <c r="C6" s="6">
        <v>1207</v>
      </c>
      <c r="D6" s="6">
        <v>44</v>
      </c>
      <c r="E6" s="6">
        <v>2278.5100000000002</v>
      </c>
      <c r="F6" s="2">
        <v>0.04</v>
      </c>
      <c r="G6" s="4">
        <v>517.84</v>
      </c>
      <c r="I6" s="1" t="s">
        <v>18</v>
      </c>
      <c r="J6" s="1" t="s">
        <v>21</v>
      </c>
      <c r="K6" s="1">
        <v>110</v>
      </c>
      <c r="M6" s="1" t="s">
        <v>26</v>
      </c>
      <c r="N6" s="1">
        <v>193</v>
      </c>
      <c r="P6" s="1" t="s">
        <v>33</v>
      </c>
      <c r="Q6" s="1">
        <v>10</v>
      </c>
      <c r="S6" s="1">
        <v>5</v>
      </c>
      <c r="T6" s="1" t="s">
        <v>38</v>
      </c>
      <c r="U6" s="1">
        <v>188</v>
      </c>
    </row>
    <row r="7" spans="2:21" x14ac:dyDescent="0.3">
      <c r="B7" s="8">
        <v>44166</v>
      </c>
      <c r="C7" s="6">
        <v>1008</v>
      </c>
      <c r="D7" s="6">
        <v>33</v>
      </c>
      <c r="E7" s="6">
        <v>2602.77</v>
      </c>
      <c r="F7" s="2">
        <v>0.03</v>
      </c>
      <c r="G7" s="4">
        <v>788.72</v>
      </c>
      <c r="I7" s="1" t="s">
        <v>18</v>
      </c>
      <c r="J7" s="1" t="s">
        <v>20</v>
      </c>
      <c r="K7" s="1">
        <v>142</v>
      </c>
      <c r="M7" s="1" t="s">
        <v>25</v>
      </c>
      <c r="N7" s="1">
        <v>237</v>
      </c>
      <c r="P7" s="1" t="s">
        <v>30</v>
      </c>
      <c r="Q7" s="1">
        <v>15</v>
      </c>
      <c r="S7" s="1">
        <v>4</v>
      </c>
      <c r="T7" s="1" t="s">
        <v>36</v>
      </c>
      <c r="U7" s="1">
        <v>202</v>
      </c>
    </row>
    <row r="8" spans="2:21" x14ac:dyDescent="0.3">
      <c r="B8" s="8">
        <v>44197</v>
      </c>
      <c r="C8" s="6">
        <v>1058</v>
      </c>
      <c r="D8" s="6">
        <v>32</v>
      </c>
      <c r="E8" s="6">
        <v>2297.2199999999998</v>
      </c>
      <c r="F8" s="2">
        <v>0.03</v>
      </c>
      <c r="G8" s="4">
        <v>717.88</v>
      </c>
      <c r="I8" s="1" t="s">
        <v>18</v>
      </c>
      <c r="J8" s="1" t="s">
        <v>19</v>
      </c>
      <c r="K8" s="1">
        <v>734</v>
      </c>
      <c r="M8" s="1" t="s">
        <v>24</v>
      </c>
      <c r="N8" s="1">
        <v>248</v>
      </c>
      <c r="P8" s="1" t="s">
        <v>29</v>
      </c>
      <c r="Q8" s="1">
        <v>18</v>
      </c>
      <c r="S8" s="1">
        <v>2</v>
      </c>
      <c r="T8" s="1" t="s">
        <v>34</v>
      </c>
      <c r="U8" s="1">
        <v>205</v>
      </c>
    </row>
    <row r="9" spans="2:21" x14ac:dyDescent="0.3">
      <c r="B9" s="8">
        <v>44228</v>
      </c>
      <c r="C9" s="6">
        <v>1300</v>
      </c>
      <c r="D9" s="6">
        <v>68</v>
      </c>
      <c r="E9" s="6">
        <v>3631.1</v>
      </c>
      <c r="F9" s="2">
        <v>0.05</v>
      </c>
      <c r="G9" s="4">
        <v>533.98</v>
      </c>
      <c r="S9" s="1">
        <v>3</v>
      </c>
      <c r="T9" s="1" t="s">
        <v>35</v>
      </c>
      <c r="U9" s="1">
        <v>223</v>
      </c>
    </row>
    <row r="10" spans="2:21" x14ac:dyDescent="0.3">
      <c r="B10" s="8">
        <v>44256</v>
      </c>
      <c r="C10" s="6">
        <v>1932</v>
      </c>
      <c r="D10" s="6">
        <v>119</v>
      </c>
      <c r="E10" s="6">
        <v>7911.19</v>
      </c>
      <c r="F10" s="2">
        <v>0.06</v>
      </c>
      <c r="G10" s="4">
        <v>664.81</v>
      </c>
      <c r="S10" s="1">
        <v>1</v>
      </c>
      <c r="T10" s="1" t="s">
        <v>37</v>
      </c>
      <c r="U10" s="1">
        <v>234</v>
      </c>
    </row>
    <row r="11" spans="2:21" x14ac:dyDescent="0.3">
      <c r="B11" s="8">
        <v>44287</v>
      </c>
      <c r="C11" s="6">
        <v>2376</v>
      </c>
      <c r="D11" s="6">
        <v>142</v>
      </c>
      <c r="E11" s="6">
        <v>7477.56</v>
      </c>
      <c r="F11" s="2">
        <v>0.06</v>
      </c>
      <c r="G11" s="4">
        <v>526.59</v>
      </c>
    </row>
    <row r="12" spans="2:21" x14ac:dyDescent="0.3">
      <c r="B12" s="8">
        <v>44317</v>
      </c>
      <c r="C12" s="6">
        <v>3819</v>
      </c>
      <c r="D12" s="6">
        <v>394</v>
      </c>
      <c r="E12" s="6">
        <v>21508.48</v>
      </c>
      <c r="F12" s="2">
        <v>0.1</v>
      </c>
      <c r="G12" s="4">
        <v>545.9</v>
      </c>
    </row>
    <row r="13" spans="2:21" x14ac:dyDescent="0.3">
      <c r="B13" s="8">
        <v>44348</v>
      </c>
      <c r="C13" s="6">
        <v>4440</v>
      </c>
      <c r="D13" s="6">
        <v>589</v>
      </c>
      <c r="E13" s="6">
        <v>33179.25</v>
      </c>
      <c r="F13" s="2">
        <v>0.13</v>
      </c>
      <c r="G13" s="4">
        <v>563.30999999999995</v>
      </c>
    </row>
    <row r="14" spans="2:21" x14ac:dyDescent="0.3">
      <c r="B14" s="8">
        <v>44378</v>
      </c>
      <c r="C14" s="6">
        <v>6130</v>
      </c>
      <c r="D14" s="6">
        <v>1073</v>
      </c>
      <c r="E14" s="6">
        <v>58987.79</v>
      </c>
      <c r="F14" s="2">
        <v>0.18</v>
      </c>
      <c r="G14" s="4">
        <v>549.75</v>
      </c>
    </row>
    <row r="15" spans="2:21" x14ac:dyDescent="0.3">
      <c r="B15" s="8">
        <v>44409</v>
      </c>
      <c r="C15" s="6">
        <v>6353</v>
      </c>
      <c r="D15" s="6">
        <v>1254</v>
      </c>
      <c r="E15" s="6">
        <v>68274.09</v>
      </c>
      <c r="F15" s="2">
        <v>0.2</v>
      </c>
      <c r="G15" s="4">
        <v>544.45000000000005</v>
      </c>
    </row>
    <row r="29" spans="3:14" x14ac:dyDescent="0.3">
      <c r="C29" s="10">
        <v>44075</v>
      </c>
      <c r="D29" s="10">
        <f>EDATE(C29,1)</f>
        <v>44105</v>
      </c>
      <c r="E29" s="10">
        <f t="shared" ref="E29:L29" si="0">EDATE(D29,1)</f>
        <v>44136</v>
      </c>
      <c r="F29" s="10">
        <f t="shared" si="0"/>
        <v>44166</v>
      </c>
      <c r="G29" s="10">
        <f t="shared" si="0"/>
        <v>44197</v>
      </c>
      <c r="H29" s="10">
        <f t="shared" si="0"/>
        <v>44228</v>
      </c>
      <c r="I29" s="10">
        <f t="shared" si="0"/>
        <v>44256</v>
      </c>
      <c r="J29" s="10">
        <f t="shared" si="0"/>
        <v>44287</v>
      </c>
      <c r="K29" s="10">
        <f t="shared" si="0"/>
        <v>44317</v>
      </c>
      <c r="L29" s="10">
        <f t="shared" si="0"/>
        <v>44348</v>
      </c>
      <c r="M29" s="10">
        <f t="shared" ref="M29:N29" si="1">EDATE(L29,1)</f>
        <v>44378</v>
      </c>
      <c r="N29" s="10">
        <f t="shared" si="1"/>
        <v>44409</v>
      </c>
    </row>
    <row r="30" spans="3:14" x14ac:dyDescent="0.3"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</sheetData>
  <autoFilter ref="S3:U10" xr:uid="{00000000-0001-0000-0100-000000000000}">
    <sortState xmlns:xlrd2="http://schemas.microsoft.com/office/spreadsheetml/2017/richdata2" ref="S4:U10">
      <sortCondition ref="U3:U10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04040"/>
  </sheetPr>
  <dimension ref="A1"/>
  <sheetViews>
    <sheetView showGridLines="0" topLeftCell="M1" zoomScale="70" zoomScaleNormal="70" workbookViewId="0">
      <selection activeCell="AM10" sqref="AM10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Dashboard</vt:lpstr>
      <vt:lpstr>Resultados</vt:lpstr>
      <vt:lpstr>Queries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Midori Toyota</dc:creator>
  <cp:lastModifiedBy>Juliana Xavier</cp:lastModifiedBy>
  <cp:lastPrinted>2021-12-25T02:20:17Z</cp:lastPrinted>
  <dcterms:created xsi:type="dcterms:W3CDTF">2015-06-05T18:17:20Z</dcterms:created>
  <dcterms:modified xsi:type="dcterms:W3CDTF">2026-02-20T01:13:28Z</dcterms:modified>
</cp:coreProperties>
</file>